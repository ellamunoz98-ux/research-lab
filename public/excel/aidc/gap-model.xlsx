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ADME" sheetId="1" state="visible" r:id="rId1"/>
    <sheet xmlns:r="http://schemas.openxmlformats.org/officeDocument/2006/relationships" name="02_Assumptions_GPU" sheetId="2" state="visible" r:id="rId2"/>
    <sheet xmlns:r="http://schemas.openxmlformats.org/officeDocument/2006/relationships" name="03_Assumptions_BOM" sheetId="3" state="visible" r:id="rId3"/>
    <sheet xmlns:r="http://schemas.openxmlformats.org/officeDocument/2006/relationships" name="04_Assumptions_Supply" sheetId="4" state="visible" r:id="rId4"/>
    <sheet xmlns:r="http://schemas.openxmlformats.org/officeDocument/2006/relationships" name="05_Demand_MLCC" sheetId="5" state="visible" r:id="rId5"/>
    <sheet xmlns:r="http://schemas.openxmlformats.org/officeDocument/2006/relationships" name="06_Demand_Inductor" sheetId="6" state="visible" r:id="rId6"/>
    <sheet xmlns:r="http://schemas.openxmlformats.org/officeDocument/2006/relationships" name="07_Demand_FilmCap" sheetId="7" state="visible" r:id="rId7"/>
    <sheet xmlns:r="http://schemas.openxmlformats.org/officeDocument/2006/relationships" name="08_Demand_Other" sheetId="8" state="visible" r:id="rId8"/>
    <sheet xmlns:r="http://schemas.openxmlformats.org/officeDocument/2006/relationships" name="09_Gap_Analysis" sheetId="9" state="visible" r:id="rId9"/>
    <sheet xmlns:r="http://schemas.openxmlformats.org/officeDocument/2006/relationships" name="10_Scenarios" sheetId="10" state="visible" r:id="rId10"/>
    <sheet xmlns:r="http://schemas.openxmlformats.org/officeDocument/2006/relationships" name="11_Sensitivity" sheetId="11" state="visible" r:id="rId11"/>
    <sheet xmlns:r="http://schemas.openxmlformats.org/officeDocument/2006/relationships" name="12_Investment_Map" sheetId="12" state="visible" r:id="rId12"/>
    <sheet xmlns:r="http://schemas.openxmlformats.org/officeDocument/2006/relationships" name="13_Spot_vs_OEM" sheetId="13" state="visible" r:id="rId13"/>
    <sheet xmlns:r="http://schemas.openxmlformats.org/officeDocument/2006/relationships" name="14_Catalyst_Calendar" sheetId="14" state="visible" r:id="rId14"/>
    <sheet xmlns:r="http://schemas.openxmlformats.org/officeDocument/2006/relationships" name="15_Reverse_Scenario" sheetId="15" state="visible" r:id="rId15"/>
    <sheet xmlns:r="http://schemas.openxmlformats.org/officeDocument/2006/relationships" name="16_Upstream_Targe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.0;-#,##0.0"/>
  </numFmts>
  <fonts count="12">
    <font>
      <name val="Calibri"/>
      <family val="2"/>
      <color theme="1"/>
      <sz val="11"/>
      <scheme val="minor"/>
    </font>
    <font>
      <name val="Microsoft YaHei"/>
      <b val="1"/>
      <color rgb="001F3A5F"/>
      <sz val="22"/>
    </font>
    <font>
      <name val="Microsoft YaHei"/>
      <i val="1"/>
      <color rgb="00666666"/>
      <sz val="12"/>
    </font>
    <font>
      <name val="Microsoft YaHei"/>
      <b val="1"/>
      <color rgb="001F3A5F"/>
      <sz val="11"/>
    </font>
    <font>
      <name val="SimSun"/>
      <sz val="10"/>
    </font>
    <font>
      <name val="Microsoft YaHei"/>
      <b val="1"/>
      <color rgb="001F3A5F"/>
      <sz val="14"/>
    </font>
    <font>
      <name val="Microsoft YaHei"/>
      <b val="1"/>
      <color rgb="00FFFFFF"/>
      <sz val="11"/>
    </font>
    <font>
      <name val="SimSun"/>
      <i val="1"/>
      <color rgb="00666666"/>
      <sz val="9"/>
    </font>
    <font>
      <name val="Microsoft YaHei"/>
      <b val="1"/>
      <color rgb="001F3A5F"/>
      <sz val="16"/>
    </font>
    <font>
      <name val="Microsoft YaHei"/>
      <b val="1"/>
      <color rgb="001F3A5F"/>
      <sz val="13"/>
    </font>
    <font>
      <name val="Microsoft YaHei"/>
      <b val="1"/>
      <color rgb="001F3A5F"/>
      <sz val="12"/>
    </font>
    <font>
      <name val="Microsoft YaHei"/>
      <b val="1"/>
      <color rgb="001F3A5F"/>
      <sz val="15"/>
    </font>
  </fonts>
  <fills count="10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F2CC"/>
        <bgColor rgb="00FFF2CC"/>
      </patternFill>
    </fill>
    <fill>
      <patternFill patternType="solid">
        <fgColor rgb="00D6E5F5"/>
        <bgColor rgb="00D6E5F5"/>
      </patternFill>
    </fill>
    <fill>
      <patternFill patternType="solid">
        <fgColor rgb="00E1EBF5"/>
        <bgColor rgb="00E1EBF5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7" fillId="0" borderId="0" pivotButton="0" quotePrefix="0" xfId="0"/>
    <xf numFmtId="3" fontId="4" fillId="3" borderId="1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0" fillId="4" borderId="1" pivotButton="0" quotePrefix="0" xfId="0"/>
    <xf numFmtId="3" fontId="3" fillId="4" borderId="1" applyAlignment="1" pivotButton="0" quotePrefix="0" xfId="0">
      <alignment horizontal="right" vertical="center"/>
    </xf>
    <xf numFmtId="0" fontId="9" fillId="5" borderId="0" pivotButton="0" quotePrefix="0" xfId="0"/>
    <xf numFmtId="0" fontId="3" fillId="4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4" fontId="4" fillId="3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10" fillId="5" borderId="0" pivotButton="0" quotePrefix="0" xfId="0"/>
    <xf numFmtId="0" fontId="7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9" fillId="0" borderId="0" pivotButton="0" quotePrefix="0" xfId="0"/>
    <xf numFmtId="0" fontId="4" fillId="7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3" fillId="8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F8CBAD"/>
          <bgColor rgb="00F8CBAD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6" customWidth="1" min="3" max="3"/>
  </cols>
  <sheetData>
    <row r="1" ht="36" customHeight="1">
      <c r="A1" s="1" t="inlineStr">
        <is>
          <t>AIDC被动元件量价缺口模型 v2.0</t>
        </is>
      </c>
    </row>
    <row r="2">
      <c r="A2" s="2" t="inlineStr">
        <is>
          <t>Volume-Price Gap Model for AIDC Passive Components | 2024-2028</t>
        </is>
      </c>
    </row>
    <row r="3"/>
    <row r="4">
      <c r="A4" s="3" t="inlineStr">
        <is>
          <t>模型版本</t>
        </is>
      </c>
      <c r="B4" s="4" t="inlineStr">
        <is>
          <t>v2.0（基于产业链纪要校准修正）</t>
        </is>
      </c>
    </row>
    <row r="5">
      <c r="A5" s="3" t="inlineStr">
        <is>
          <t>建模日期</t>
        </is>
      </c>
      <c r="B5" s="4" t="inlineStr">
        <is>
          <t>2026年5月</t>
        </is>
      </c>
    </row>
    <row r="6">
      <c r="A6" s="3" t="inlineStr">
        <is>
          <t>覆盖品类</t>
        </is>
      </c>
      <c r="B6" s="4" t="inlineStr">
        <is>
          <t>MLCC | 功率电感 | 薄膜电容 | 钽聚合物 | 铝电解 | 超级电容 | 片式电阻</t>
        </is>
      </c>
    </row>
    <row r="7">
      <c r="A7" s="3" t="inlineStr">
        <is>
          <t>时间维度</t>
        </is>
      </c>
      <c r="B7" s="4" t="inlineStr">
        <is>
          <t>2024-2028（5年，含2024-2025历史校准）</t>
        </is>
      </c>
    </row>
    <row r="8">
      <c r="A8" s="3" t="inlineStr">
        <is>
          <t>需求颗粒度</t>
        </is>
      </c>
      <c r="B8" s="4" t="inlineStr">
        <is>
          <t>AIDC + GPU/ASIC平台细分（H100/H200/B200/GB200/GB300/Rubin/Rubin Ultra/AMD MI/ASIC）</t>
        </is>
      </c>
    </row>
    <row r="9">
      <c r="A9" s="3" t="inlineStr">
        <is>
          <t>供给颗粒度</t>
        </is>
      </c>
      <c r="B9" s="4" t="inlineStr">
        <is>
          <t>全球Top8原厂分别建模</t>
        </is>
      </c>
    </row>
    <row r="10"/>
    <row r="11">
      <c r="A11" s="5" t="inlineStr">
        <is>
          <t>工作表结构</t>
        </is>
      </c>
    </row>
    <row r="12">
      <c r="A12" s="6" t="inlineStr">
        <is>
          <t>Sheet名</t>
        </is>
      </c>
      <c r="B12" s="6" t="inlineStr">
        <is>
          <t>内容</t>
        </is>
      </c>
      <c r="C12" s="6" t="inlineStr">
        <is>
          <t>类型</t>
        </is>
      </c>
    </row>
    <row r="13">
      <c r="A13" s="7" t="inlineStr">
        <is>
          <t>01_README</t>
        </is>
      </c>
      <c r="B13" s="8" t="inlineStr">
        <is>
          <t>本说明页</t>
        </is>
      </c>
      <c r="C13" s="8" t="inlineStr">
        <is>
          <t>—</t>
        </is>
      </c>
    </row>
    <row r="14">
      <c r="A14" s="7" t="inlineStr">
        <is>
          <t>02_Assumptions_GPU</t>
        </is>
      </c>
      <c r="B14" s="8" t="inlineStr">
        <is>
          <t>GPU/ASIC平台年度出货预测</t>
        </is>
      </c>
      <c r="C14" s="8" t="inlineStr">
        <is>
          <t>INPUT（黄色单元格可调）</t>
        </is>
      </c>
    </row>
    <row r="15">
      <c r="A15" s="7" t="inlineStr">
        <is>
          <t>03_Assumptions_BOM</t>
        </is>
      </c>
      <c r="B15" s="8" t="inlineStr">
        <is>
          <t>各平台被动元件单机用量BOM</t>
        </is>
      </c>
      <c r="C15" s="8" t="inlineStr">
        <is>
          <t>INPUT</t>
        </is>
      </c>
    </row>
    <row r="16">
      <c r="A16" s="7" t="inlineStr">
        <is>
          <t>04_Assumptions_Supply</t>
        </is>
      </c>
      <c r="B16" s="8" t="inlineStr">
        <is>
          <t>原厂产能与扩产计划</t>
        </is>
      </c>
      <c r="C16" s="8" t="inlineStr">
        <is>
          <t>INPUT</t>
        </is>
      </c>
    </row>
    <row r="17">
      <c r="A17" s="7" t="inlineStr">
        <is>
          <t>05_Demand_MLCC</t>
        </is>
      </c>
      <c r="B17" s="8" t="inlineStr">
        <is>
          <t>MLCC需求矩阵：平台×年</t>
        </is>
      </c>
      <c r="C17" s="8" t="inlineStr">
        <is>
          <t>CALC（公式联动）</t>
        </is>
      </c>
    </row>
    <row r="18">
      <c r="A18" s="7" t="inlineStr">
        <is>
          <t>06_Demand_Inductor</t>
        </is>
      </c>
      <c r="B18" s="8" t="inlineStr">
        <is>
          <t>功率电感需求矩阵</t>
        </is>
      </c>
      <c r="C18" s="8" t="inlineStr">
        <is>
          <t>CALC</t>
        </is>
      </c>
    </row>
    <row r="19">
      <c r="A19" s="7" t="inlineStr">
        <is>
          <t>07_Demand_FilmCap</t>
        </is>
      </c>
      <c r="B19" s="8" t="inlineStr">
        <is>
          <t>薄膜电容需求矩阵</t>
        </is>
      </c>
      <c r="C19" s="8" t="inlineStr">
        <is>
          <t>CALC</t>
        </is>
      </c>
    </row>
    <row r="20">
      <c r="A20" s="7" t="inlineStr">
        <is>
          <t>08_Demand_Other</t>
        </is>
      </c>
      <c r="B20" s="8" t="inlineStr">
        <is>
          <t>钽聚/铝电解/超容/电阻需求</t>
        </is>
      </c>
      <c r="C20" s="8" t="inlineStr">
        <is>
          <t>CALC</t>
        </is>
      </c>
    </row>
    <row r="21">
      <c r="A21" s="7" t="inlineStr">
        <is>
          <t>09_Gap_Analysis</t>
        </is>
      </c>
      <c r="B21" s="8" t="inlineStr">
        <is>
          <t>供需缺口与价格弹性预测</t>
        </is>
      </c>
      <c r="C21" s="8" t="inlineStr">
        <is>
          <t>CALC</t>
        </is>
      </c>
    </row>
    <row r="22">
      <c r="A22" s="7" t="inlineStr">
        <is>
          <t>10_Scenarios</t>
        </is>
      </c>
      <c r="B22" s="8" t="inlineStr">
        <is>
          <t>三情景：保守/中性/乐观</t>
        </is>
      </c>
      <c r="C22" s="8" t="inlineStr">
        <is>
          <t>CALC</t>
        </is>
      </c>
    </row>
    <row r="23">
      <c r="A23" s="7" t="inlineStr">
        <is>
          <t>11_Sensitivity</t>
        </is>
      </c>
      <c r="B23" s="8" t="inlineStr">
        <is>
          <t>关键变量敏感性分析</t>
        </is>
      </c>
      <c r="C23" s="8" t="inlineStr">
        <is>
          <t>CALC</t>
        </is>
      </c>
    </row>
    <row r="24">
      <c r="A24" s="7" t="inlineStr">
        <is>
          <t>12_Investment_Map</t>
        </is>
      </c>
      <c r="B24" s="8" t="inlineStr">
        <is>
          <t>标的弹性测算（海外+国内）</t>
        </is>
      </c>
      <c r="C24" s="8" t="inlineStr">
        <is>
          <t>CALC+定性</t>
        </is>
      </c>
    </row>
    <row r="25"/>
    <row r="26">
      <c r="A26" s="5" t="inlineStr">
        <is>
          <t>颜色图例</t>
        </is>
      </c>
    </row>
    <row r="27">
      <c r="A27" s="6" t="inlineStr">
        <is>
          <t>颜色</t>
        </is>
      </c>
      <c r="B27" s="6" t="inlineStr">
        <is>
          <t>含义</t>
        </is>
      </c>
    </row>
    <row r="28">
      <c r="A28" s="7" t="inlineStr">
        <is>
          <t>黄色填充</t>
        </is>
      </c>
      <c r="B28" s="8" t="inlineStr">
        <is>
          <t>INPUT输入单元（可手工调整）</t>
        </is>
      </c>
    </row>
    <row r="29">
      <c r="A29" s="7" t="inlineStr">
        <is>
          <t>灰色填充</t>
        </is>
      </c>
      <c r="B29" s="8" t="inlineStr">
        <is>
          <t>CALC公式计算单元（请勿覆盖）</t>
        </is>
      </c>
    </row>
    <row r="30">
      <c r="A30" s="7" t="inlineStr">
        <is>
          <t>浅蓝填充</t>
        </is>
      </c>
      <c r="B30" s="8" t="inlineStr">
        <is>
          <t>Total/合计行</t>
        </is>
      </c>
    </row>
    <row r="31">
      <c r="A31" s="7" t="inlineStr">
        <is>
          <t>浅红填充</t>
        </is>
      </c>
      <c r="B31" s="8" t="inlineStr">
        <is>
          <t>供给短缺/负缺口（紧张）</t>
        </is>
      </c>
    </row>
    <row r="32">
      <c r="A32" s="7" t="inlineStr">
        <is>
          <t>浅绿填充</t>
        </is>
      </c>
      <c r="B32" s="8" t="inlineStr">
        <is>
          <t>供给充裕/正缺口（宽松）</t>
        </is>
      </c>
    </row>
    <row r="33"/>
    <row r="34"/>
    <row r="35">
      <c r="A35" s="5" t="inlineStr">
        <is>
          <t>使用说明</t>
        </is>
      </c>
    </row>
    <row r="36">
      <c r="A36" s="9" t="inlineStr">
        <is>
          <t>① 在Sheet 02-04的INPUT单元格中调整假设，Sheet 05-09自动重算（若部分单元为静态值，请在Sheet 10/11切换情景）。</t>
        </is>
      </c>
    </row>
    <row r="37">
      <c r="A37" s="9" t="inlineStr">
        <is>
          <t>② Sheet 10提供三情景对比；Sheet 11对4个核心驱动变量做弹性测试。</t>
        </is>
      </c>
    </row>
    <row r="38">
      <c r="A38" s="9" t="inlineStr">
        <is>
          <t>③ Sheet 12在缺口和涨价基础上推导各龙头的收入/利润弹性，仅供参考。</t>
        </is>
      </c>
    </row>
    <row r="39">
      <c r="A39" s="9" t="inlineStr">
        <is>
          <t>④ 模型基于公开信息推算，单点数据可能存在±20%误差，但方向与量级有较强参考价值。</t>
        </is>
      </c>
    </row>
    <row r="40">
      <c r="A40" s="9" t="inlineStr">
        <is>
          <t>⑤ 关键不确定性：AI capex斜率、原厂扩产兑现度、贵金属价格、国产替代速度。</t>
        </is>
      </c>
    </row>
    <row r="43">
      <c r="A43" s="5" t="inlineStr">
        <is>
          <t>v2.0 新增Sheet</t>
        </is>
      </c>
    </row>
    <row r="44">
      <c r="A44" s="44" t="inlineStr">
        <is>
          <t>13_Spot_vs_OEM</t>
        </is>
      </c>
      <c r="B44" s="42" t="inlineStr">
        <is>
          <t>现货vs出厂价：传导时滞模型 + 数据可信度A/B/C分级</t>
        </is>
      </c>
    </row>
    <row r="45">
      <c r="A45" s="44" t="inlineStr">
        <is>
          <t>14_Catalyst_Calendar</t>
        </is>
      </c>
      <c r="B45" s="42" t="inlineStr">
        <is>
          <t>催化日历：5个关键事件节点 + 板块脉冲实证 + 退出信号清单</t>
        </is>
      </c>
    </row>
    <row r="46">
      <c r="A46" s="44" t="inlineStr">
        <is>
          <t>15_Reverse_Scenario</t>
        </is>
      </c>
      <c r="B46" s="42" t="inlineStr">
        <is>
          <t>反向情景：5大杀手 + 标的安全边际矩阵 + 三种组合配置思路</t>
        </is>
      </c>
    </row>
    <row r="47">
      <c r="A47" s="44" t="inlineStr">
        <is>
          <t>16_Upstream_Targets</t>
        </is>
      </c>
      <c r="B47" s="42" t="inlineStr">
        <is>
          <t>上游材料层（国瓷/博迁/洁美/铂科）+ 流通环节（商络）专项分析</t>
        </is>
      </c>
    </row>
    <row r="49">
      <c r="A49" s="5" t="inlineStr">
        <is>
          <t>v2.0 主要修正点</t>
        </is>
      </c>
    </row>
    <row r="50">
      <c r="A50" s="42" t="inlineStr">
        <is>
          <t>• 顺络电子：EPS弹性从+90%→+50%，评级从强烈推荐→增持（电感行业供需未短缺）</t>
        </is>
      </c>
    </row>
    <row r="51">
      <c r="A51" s="42" t="inlineStr">
        <is>
          <t>• 风华高科：消费弹性打7折（产线不可互转，挤出效应受限）</t>
        </is>
      </c>
    </row>
    <row r="52">
      <c r="A52" s="42" t="inlineStr">
        <is>
          <t>• 三环集团：补充扩产延期风险（高容量项目从2025/5延期至2027/5）</t>
        </is>
      </c>
    </row>
    <row r="53">
      <c r="A53" s="42" t="inlineStr">
        <is>
          <t>• 新增上游+流通标的：博迁新材、洁美科技、商络电子</t>
        </is>
      </c>
    </row>
    <row r="54">
      <c r="A54" s="42" t="inlineStr">
        <is>
          <t>• 现货价 vs 出厂价拆分：2026年现货+20%但出厂仅+5-8%，正式提牌价时点更可能2027Q1</t>
        </is>
      </c>
    </row>
    <row r="55">
      <c r="A55" s="42" t="inlineStr">
        <is>
          <t>• 数据可信度A/B/C级分级：村田涨价15-35%为C+级（中文自媒体），非已确认事实</t>
        </is>
      </c>
    </row>
  </sheetData>
  <mergeCells count="10">
    <mergeCell ref="B45:D45"/>
    <mergeCell ref="B46:D46"/>
    <mergeCell ref="A50:D50"/>
    <mergeCell ref="A53:D53"/>
    <mergeCell ref="A54:D54"/>
    <mergeCell ref="A55:D55"/>
    <mergeCell ref="A52:D52"/>
    <mergeCell ref="B44:D44"/>
    <mergeCell ref="A51:D51"/>
    <mergeCell ref="B47:D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0" t="inlineStr">
        <is>
          <t>假设页1：GPU/ASIC平台年度出货量预测（万台或万机柜）</t>
        </is>
      </c>
    </row>
    <row r="2">
      <c r="A2" s="11" t="inlineStr">
        <is>
          <t>单位：服务器=台（多卡服务器以"台"计），机柜=台（72-144 GPU/柜）</t>
        </is>
      </c>
    </row>
    <row r="4">
      <c r="A4" s="6" t="inlineStr">
        <is>
          <t>平台</t>
        </is>
      </c>
      <c r="B4" s="6" t="inlineStr">
        <is>
          <t>形态</t>
        </is>
      </c>
      <c r="C4" s="6" t="inlineStr">
        <is>
          <t>卡/柜数</t>
        </is>
      </c>
      <c r="D4" s="6" t="inlineStr">
        <is>
          <t>2024(千)</t>
        </is>
      </c>
      <c r="E4" s="6" t="inlineStr">
        <is>
          <t>2025(千)</t>
        </is>
      </c>
      <c r="F4" s="6" t="inlineStr">
        <is>
          <t>2026(千)</t>
        </is>
      </c>
      <c r="G4" s="6" t="inlineStr">
        <is>
          <t>2027(千)</t>
        </is>
      </c>
      <c r="H4" s="6" t="inlineStr">
        <is>
          <t>2028(千)</t>
        </is>
      </c>
    </row>
    <row r="5">
      <c r="A5" s="7" t="inlineStr">
        <is>
          <t>H100 HGX</t>
        </is>
      </c>
      <c r="B5" s="8" t="inlineStr">
        <is>
          <t>8GPU服务器</t>
        </is>
      </c>
      <c r="C5" s="8" t="inlineStr">
        <is>
          <t>8</t>
        </is>
      </c>
      <c r="D5" s="12" t="n">
        <v>800</v>
      </c>
      <c r="E5" s="12" t="n">
        <v>200</v>
      </c>
      <c r="F5" s="12" t="n">
        <v>50</v>
      </c>
      <c r="G5" s="12" t="n">
        <v>0</v>
      </c>
      <c r="H5" s="12" t="n">
        <v>0</v>
      </c>
    </row>
    <row r="6">
      <c r="A6" s="7" t="inlineStr">
        <is>
          <t>H200 HGX</t>
        </is>
      </c>
      <c r="B6" s="8" t="inlineStr">
        <is>
          <t>8GPU服务器</t>
        </is>
      </c>
      <c r="C6" s="8" t="inlineStr">
        <is>
          <t>8</t>
        </is>
      </c>
      <c r="D6" s="12" t="n">
        <v>200</v>
      </c>
      <c r="E6" s="12" t="n">
        <v>600</v>
      </c>
      <c r="F6" s="12" t="n">
        <v>200</v>
      </c>
      <c r="G6" s="12" t="n">
        <v>50</v>
      </c>
      <c r="H6" s="12" t="n">
        <v>0</v>
      </c>
    </row>
    <row r="7">
      <c r="A7" s="7" t="inlineStr">
        <is>
          <t>B100/B200 HGX</t>
        </is>
      </c>
      <c r="B7" s="8" t="inlineStr">
        <is>
          <t>8GPU服务器</t>
        </is>
      </c>
      <c r="C7" s="8" t="inlineStr">
        <is>
          <t>8</t>
        </is>
      </c>
      <c r="D7" s="12" t="n">
        <v>50</v>
      </c>
      <c r="E7" s="12" t="n">
        <v>800</v>
      </c>
      <c r="F7" s="12" t="n">
        <v>600</v>
      </c>
      <c r="G7" s="12" t="n">
        <v>300</v>
      </c>
      <c r="H7" s="12" t="n">
        <v>100</v>
      </c>
    </row>
    <row r="8">
      <c r="A8" s="7" t="inlineStr">
        <is>
          <t>GB200 NVL72</t>
        </is>
      </c>
      <c r="B8" s="8" t="inlineStr">
        <is>
          <t>整机柜</t>
        </is>
      </c>
      <c r="C8" s="8" t="inlineStr">
        <is>
          <t>72</t>
        </is>
      </c>
      <c r="D8" s="12" t="n">
        <v>0</v>
      </c>
      <c r="E8" s="12" t="n">
        <v>30</v>
      </c>
      <c r="F8" s="12" t="n">
        <v>25</v>
      </c>
      <c r="G8" s="12" t="n">
        <v>10</v>
      </c>
      <c r="H8" s="12" t="n">
        <v>0</v>
      </c>
    </row>
    <row r="9">
      <c r="A9" s="7" t="inlineStr">
        <is>
          <t>GB300 NVL72</t>
        </is>
      </c>
      <c r="B9" s="8" t="inlineStr">
        <is>
          <t>整机柜</t>
        </is>
      </c>
      <c r="C9" s="8" t="inlineStr">
        <is>
          <t>72</t>
        </is>
      </c>
      <c r="D9" s="12" t="n">
        <v>0</v>
      </c>
      <c r="E9" s="12" t="n">
        <v>5</v>
      </c>
      <c r="F9" s="12" t="n">
        <v>60</v>
      </c>
      <c r="G9" s="12" t="n">
        <v>30</v>
      </c>
      <c r="H9" s="12" t="n">
        <v>10</v>
      </c>
    </row>
    <row r="10">
      <c r="A10" s="7" t="inlineStr">
        <is>
          <t>Rubin VR200 NVL144</t>
        </is>
      </c>
      <c r="B10" s="8" t="inlineStr">
        <is>
          <t>整机柜</t>
        </is>
      </c>
      <c r="C10" s="8" t="inlineStr">
        <is>
          <t>144</t>
        </is>
      </c>
      <c r="D10" s="12" t="n">
        <v>0</v>
      </c>
      <c r="E10" s="12" t="n">
        <v>0</v>
      </c>
      <c r="F10" s="12" t="n">
        <v>10</v>
      </c>
      <c r="G10" s="12" t="n">
        <v>50</v>
      </c>
      <c r="H10" s="12" t="n">
        <v>80</v>
      </c>
    </row>
    <row r="11">
      <c r="A11" s="7" t="inlineStr">
        <is>
          <t>Rubin Ultra (NVL576)</t>
        </is>
      </c>
      <c r="B11" s="8" t="inlineStr">
        <is>
          <t>整机柜</t>
        </is>
      </c>
      <c r="C11" s="8" t="inlineStr">
        <is>
          <t>576</t>
        </is>
      </c>
      <c r="D11" s="12" t="n">
        <v>0</v>
      </c>
      <c r="E11" s="12" t="n">
        <v>0</v>
      </c>
      <c r="F11" s="12" t="n">
        <v>0</v>
      </c>
      <c r="G11" s="12" t="n">
        <v>5</v>
      </c>
      <c r="H11" s="12" t="n">
        <v>40</v>
      </c>
    </row>
    <row r="12">
      <c r="A12" s="7" t="inlineStr">
        <is>
          <t>AMD MI300X</t>
        </is>
      </c>
      <c r="B12" s="8" t="inlineStr">
        <is>
          <t>8GPU服务器</t>
        </is>
      </c>
      <c r="C12" s="8" t="inlineStr">
        <is>
          <t>8</t>
        </is>
      </c>
      <c r="D12" s="12" t="n">
        <v>80</v>
      </c>
      <c r="E12" s="12" t="n">
        <v>150</v>
      </c>
      <c r="F12" s="12" t="n">
        <v>100</v>
      </c>
      <c r="G12" s="12" t="n">
        <v>50</v>
      </c>
      <c r="H12" s="12" t="n">
        <v>0</v>
      </c>
    </row>
    <row r="13">
      <c r="A13" s="7" t="inlineStr">
        <is>
          <t>AMD MI325X</t>
        </is>
      </c>
      <c r="B13" s="8" t="inlineStr">
        <is>
          <t>8GPU服务器</t>
        </is>
      </c>
      <c r="C13" s="8" t="inlineStr">
        <is>
          <t>8</t>
        </is>
      </c>
      <c r="D13" s="12" t="n">
        <v>0</v>
      </c>
      <c r="E13" s="12" t="n">
        <v>50</v>
      </c>
      <c r="F13" s="12" t="n">
        <v>100</v>
      </c>
      <c r="G13" s="12" t="n">
        <v>50</v>
      </c>
      <c r="H13" s="12" t="n">
        <v>0</v>
      </c>
    </row>
    <row r="14">
      <c r="A14" s="7" t="inlineStr">
        <is>
          <t>AMD MI350</t>
        </is>
      </c>
      <c r="B14" s="8" t="inlineStr">
        <is>
          <t>8GPU服务器</t>
        </is>
      </c>
      <c r="C14" s="8" t="inlineStr">
        <is>
          <t>8</t>
        </is>
      </c>
      <c r="D14" s="12" t="n">
        <v>0</v>
      </c>
      <c r="E14" s="12" t="n">
        <v>30</v>
      </c>
      <c r="F14" s="12" t="n">
        <v>200</v>
      </c>
      <c r="G14" s="12" t="n">
        <v>150</v>
      </c>
      <c r="H14" s="12" t="n">
        <v>50</v>
      </c>
    </row>
    <row r="15">
      <c r="A15" s="7" t="inlineStr">
        <is>
          <t>AMD MI400</t>
        </is>
      </c>
      <c r="B15" s="8" t="inlineStr">
        <is>
          <t>8GPU服务器</t>
        </is>
      </c>
      <c r="C15" s="8" t="inlineStr">
        <is>
          <t>8</t>
        </is>
      </c>
      <c r="D15" s="12" t="n">
        <v>0</v>
      </c>
      <c r="E15" s="12" t="n">
        <v>0</v>
      </c>
      <c r="F15" s="12" t="n">
        <v>50</v>
      </c>
      <c r="G15" s="12" t="n">
        <v>200</v>
      </c>
      <c r="H15" s="12" t="n">
        <v>200</v>
      </c>
    </row>
    <row r="16">
      <c r="A16" s="7" t="inlineStr">
        <is>
          <t>Google TPU v5/v6</t>
        </is>
      </c>
      <c r="B16" s="8" t="inlineStr">
        <is>
          <t>TPU pod服务器</t>
        </is>
      </c>
      <c r="C16" s="8" t="inlineStr">
        <is>
          <t>8</t>
        </is>
      </c>
      <c r="D16" s="12" t="n">
        <v>60</v>
      </c>
      <c r="E16" s="12" t="n">
        <v>100</v>
      </c>
      <c r="F16" s="12" t="n">
        <v>150</v>
      </c>
      <c r="G16" s="12" t="n">
        <v>200</v>
      </c>
      <c r="H16" s="12" t="n">
        <v>250</v>
      </c>
    </row>
    <row r="17">
      <c r="A17" s="7" t="inlineStr">
        <is>
          <t>AWS Trainium2/3</t>
        </is>
      </c>
      <c r="B17" s="8" t="inlineStr">
        <is>
          <t>Trn服务器</t>
        </is>
      </c>
      <c r="C17" s="8" t="inlineStr">
        <is>
          <t>16</t>
        </is>
      </c>
      <c r="D17" s="12" t="n">
        <v>30</v>
      </c>
      <c r="E17" s="12" t="n">
        <v>60</v>
      </c>
      <c r="F17" s="12" t="n">
        <v>100</v>
      </c>
      <c r="G17" s="12" t="n">
        <v>150</v>
      </c>
      <c r="H17" s="12" t="n">
        <v>200</v>
      </c>
    </row>
    <row r="18">
      <c r="A18" s="7" t="inlineStr">
        <is>
          <t>Meta MTIA / 其他ASIC</t>
        </is>
      </c>
      <c r="B18" s="8" t="inlineStr">
        <is>
          <t>ASIC服务器</t>
        </is>
      </c>
      <c r="C18" s="8" t="inlineStr">
        <is>
          <t>8</t>
        </is>
      </c>
      <c r="D18" s="12" t="n">
        <v>10</v>
      </c>
      <c r="E18" s="12" t="n">
        <v>40</v>
      </c>
      <c r="F18" s="12" t="n">
        <v>100</v>
      </c>
      <c r="G18" s="12" t="n">
        <v>150</v>
      </c>
      <c r="H18" s="12" t="n">
        <v>250</v>
      </c>
    </row>
    <row r="19">
      <c r="A19" s="13" t="inlineStr">
        <is>
          <t>—— 合计：8GPU服务器（H/B HGX + AMD + ASIC）</t>
        </is>
      </c>
      <c r="B19" s="14" t="n"/>
      <c r="C19" s="14" t="n"/>
      <c r="D19" s="15">
        <f>SUM(D5:D6)+SUM(D7:D7)+SUM(D12:D18)</f>
        <v/>
      </c>
      <c r="E19" s="15">
        <f>SUM(E5:E6)+SUM(E7:E7)+SUM(E12:E18)</f>
        <v/>
      </c>
      <c r="F19" s="15">
        <f>SUM(F5:F6)+SUM(F7:F7)+SUM(F12:F18)</f>
        <v/>
      </c>
      <c r="G19" s="15">
        <f>SUM(G5:G6)+SUM(G7:G7)+SUM(G12:G18)</f>
        <v/>
      </c>
      <c r="H19" s="15">
        <f>SUM(H5:H6)+SUM(H7:H7)+SUM(H12:H18)</f>
        <v/>
      </c>
    </row>
    <row r="20">
      <c r="A20" s="13" t="inlineStr">
        <is>
          <t>—— 合计：NVIDIA整机柜（GB200+GB300+Rubin系列）</t>
        </is>
      </c>
      <c r="B20" s="14" t="n"/>
      <c r="C20" s="14" t="n"/>
      <c r="D20" s="15">
        <f>SUM(D8:D11)</f>
        <v/>
      </c>
      <c r="E20" s="15">
        <f>SUM(E8:E11)</f>
        <v/>
      </c>
      <c r="F20" s="15">
        <f>SUM(F8:F11)</f>
        <v/>
      </c>
      <c r="G20" s="15">
        <f>SUM(G8:G11)</f>
        <v/>
      </c>
      <c r="H20" s="15">
        <f>SUM(H8:H11)</f>
        <v/>
      </c>
    </row>
    <row r="22">
      <c r="A22" s="9" t="inlineStr">
        <is>
          <t>• 数据来源：TrendForce / Morgan Stanley / Mizuho / SemiAnalysis / Ming-Chi Kuo / 公司公告</t>
        </is>
      </c>
    </row>
    <row r="23">
      <c r="A23" s="9" t="inlineStr">
        <is>
          <t>• GB200 NVL72 2025年出货预期已从初版50-80K下修至25-35K（取30K中值）</t>
        </is>
      </c>
    </row>
    <row r="24">
      <c r="A24" s="9" t="inlineStr">
        <is>
          <t>• GB300 NVL72 2026年Morgan Stanley预期60K机柜，2027年随Rubin迁移而回落</t>
        </is>
      </c>
    </row>
    <row r="25">
      <c r="A25" s="9" t="inlineStr">
        <is>
          <t>• Rubin VR200 NVL144 2026年小批量、2027年放量，2028年Rubin Ultra主力</t>
        </is>
      </c>
    </row>
    <row r="26">
      <c r="A26" s="9" t="inlineStr">
        <is>
          <t>• AMD MI400 2026年小批量启动，2027-2028年随OpenAI等大客户订单放量</t>
        </is>
      </c>
    </row>
    <row r="27">
      <c r="A27" s="9" t="inlineStr">
        <is>
          <t>• ASIC含Google TPU v5/v6/v7、AWS Trainium2/3、Meta MTIA、微软Maia等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4" customWidth="1" min="3" max="3"/>
    <col width="11" customWidth="1" min="4" max="4"/>
    <col width="11" customWidth="1" min="5" max="5"/>
    <col width="12" customWidth="1" min="6" max="6"/>
    <col width="11" customWidth="1" min="7" max="7"/>
    <col width="12" customWidth="1" min="8" max="8"/>
    <col width="12" customWidth="1" min="9" max="9"/>
  </cols>
  <sheetData>
    <row r="1">
      <c r="A1" s="10" t="inlineStr">
        <is>
          <t>假设页2：各平台被动元件单机用量BOM</t>
        </is>
      </c>
    </row>
    <row r="2">
      <c r="A2" s="11" t="inlineStr">
        <is>
          <t>单位：颗/台或颗/柜（机柜级BOM按完整NVL机柜配置含Compute Tray + Switch Tray + Power Shelf）</t>
        </is>
      </c>
    </row>
    <row r="4">
      <c r="A4" s="6" t="inlineStr">
        <is>
          <t>平台</t>
        </is>
      </c>
      <c r="B4" s="6" t="inlineStr">
        <is>
          <t>MLCC(颗)</t>
        </is>
      </c>
      <c r="C4" s="6" t="inlineStr">
        <is>
          <t>其中:高容≥10μF占比</t>
        </is>
      </c>
      <c r="D4" s="6" t="inlineStr">
        <is>
          <t>功率电感(颗)</t>
        </is>
      </c>
      <c r="E4" s="6" t="inlineStr">
        <is>
          <t>薄膜电容(颗)</t>
        </is>
      </c>
      <c r="F4" s="6" t="inlineStr">
        <is>
          <t>钽聚合物(颗)</t>
        </is>
      </c>
      <c r="G4" s="6" t="inlineStr">
        <is>
          <t>铝电解(颗)</t>
        </is>
      </c>
      <c r="H4" s="6" t="inlineStr">
        <is>
          <t>超级电容(颗)</t>
        </is>
      </c>
      <c r="I4" s="6" t="inlineStr">
        <is>
          <t>片式电阻(颗)</t>
        </is>
      </c>
    </row>
    <row r="5">
      <c r="A5" s="7" t="inlineStr">
        <is>
          <t>H100 HGX 8GPU服务器</t>
        </is>
      </c>
      <c r="B5" s="12" t="n">
        <v>5000</v>
      </c>
      <c r="C5" s="8" t="inlineStr">
        <is>
          <t>55%</t>
        </is>
      </c>
      <c r="D5" s="12" t="n">
        <v>250</v>
      </c>
      <c r="E5" s="12" t="n">
        <v>12</v>
      </c>
      <c r="F5" s="12" t="n">
        <v>80</v>
      </c>
      <c r="G5" s="12" t="n">
        <v>60</v>
      </c>
      <c r="H5" s="12" t="n">
        <v>0</v>
      </c>
      <c r="I5" s="12" t="n">
        <v>8000</v>
      </c>
    </row>
    <row r="6">
      <c r="A6" s="7" t="inlineStr">
        <is>
          <t>H200 HGX 8GPU服务器</t>
        </is>
      </c>
      <c r="B6" s="12" t="n">
        <v>6000</v>
      </c>
      <c r="C6" s="8" t="inlineStr">
        <is>
          <t>58%</t>
        </is>
      </c>
      <c r="D6" s="12" t="n">
        <v>280</v>
      </c>
      <c r="E6" s="12" t="n">
        <v>14</v>
      </c>
      <c r="F6" s="12" t="n">
        <v>100</v>
      </c>
      <c r="G6" s="12" t="n">
        <v>70</v>
      </c>
      <c r="H6" s="12" t="n">
        <v>0</v>
      </c>
      <c r="I6" s="12" t="n">
        <v>9000</v>
      </c>
    </row>
    <row r="7">
      <c r="A7" s="7" t="inlineStr">
        <is>
          <t>B100/B200 HGX 8GPU服务器</t>
        </is>
      </c>
      <c r="B7" s="12" t="n">
        <v>10000</v>
      </c>
      <c r="C7" s="8" t="inlineStr">
        <is>
          <t>62%</t>
        </is>
      </c>
      <c r="D7" s="12" t="n">
        <v>400</v>
      </c>
      <c r="E7" s="12" t="n">
        <v>25</v>
      </c>
      <c r="F7" s="12" t="n">
        <v>200</v>
      </c>
      <c r="G7" s="12" t="n">
        <v>100</v>
      </c>
      <c r="H7" s="12" t="n">
        <v>2</v>
      </c>
      <c r="I7" s="12" t="n">
        <v>12000</v>
      </c>
    </row>
    <row r="8">
      <c r="A8" s="7" t="inlineStr">
        <is>
          <t>GB200 NVL72 整机柜</t>
        </is>
      </c>
      <c r="B8" s="12" t="n">
        <v>440000</v>
      </c>
      <c r="C8" s="8" t="inlineStr">
        <is>
          <t>65%</t>
        </is>
      </c>
      <c r="D8" s="12" t="n">
        <v>12000</v>
      </c>
      <c r="E8" s="12" t="n">
        <v>1500</v>
      </c>
      <c r="F8" s="12" t="n">
        <v>8000</v>
      </c>
      <c r="G8" s="12" t="n">
        <v>2500</v>
      </c>
      <c r="H8" s="12" t="n">
        <v>80</v>
      </c>
      <c r="I8" s="12" t="n">
        <v>480000</v>
      </c>
    </row>
    <row r="9">
      <c r="A9" s="7" t="inlineStr">
        <is>
          <t>GB300 NVL72 整机柜</t>
        </is>
      </c>
      <c r="B9" s="12" t="n">
        <v>550000</v>
      </c>
      <c r="C9" s="8" t="inlineStr">
        <is>
          <t>67%</t>
        </is>
      </c>
      <c r="D9" s="12" t="n">
        <v>15000</v>
      </c>
      <c r="E9" s="12" t="n">
        <v>1800</v>
      </c>
      <c r="F9" s="12" t="n">
        <v>10000</v>
      </c>
      <c r="G9" s="12" t="n">
        <v>3000</v>
      </c>
      <c r="H9" s="12" t="n">
        <v>120</v>
      </c>
      <c r="I9" s="12" t="n">
        <v>600000</v>
      </c>
    </row>
    <row r="10">
      <c r="A10" s="7" t="inlineStr">
        <is>
          <t>Rubin VR200 NVL144 整机柜</t>
        </is>
      </c>
      <c r="B10" s="12" t="n">
        <v>850000</v>
      </c>
      <c r="C10" s="8" t="inlineStr">
        <is>
          <t>70%</t>
        </is>
      </c>
      <c r="D10" s="12" t="n">
        <v>22000</v>
      </c>
      <c r="E10" s="12" t="n">
        <v>2500</v>
      </c>
      <c r="F10" s="12" t="n">
        <v>14000</v>
      </c>
      <c r="G10" s="12" t="n">
        <v>4000</v>
      </c>
      <c r="H10" s="12" t="n">
        <v>200</v>
      </c>
      <c r="I10" s="12" t="n">
        <v>950000</v>
      </c>
    </row>
    <row r="11">
      <c r="A11" s="7" t="inlineStr">
        <is>
          <t>Rubin Ultra NVL576 整机柜</t>
        </is>
      </c>
      <c r="B11" s="12" t="n">
        <v>1200000</v>
      </c>
      <c r="C11" s="8" t="inlineStr">
        <is>
          <t>72%</t>
        </is>
      </c>
      <c r="D11" s="12" t="n">
        <v>30000</v>
      </c>
      <c r="E11" s="12" t="n">
        <v>3500</v>
      </c>
      <c r="F11" s="12" t="n">
        <v>18000</v>
      </c>
      <c r="G11" s="12" t="n">
        <v>5500</v>
      </c>
      <c r="H11" s="12" t="n">
        <v>350</v>
      </c>
      <c r="I11" s="12" t="n">
        <v>1400000</v>
      </c>
    </row>
    <row r="12">
      <c r="A12" s="7" t="inlineStr">
        <is>
          <t>AMD MI300X 服务器</t>
        </is>
      </c>
      <c r="B12" s="12" t="n">
        <v>8000</v>
      </c>
      <c r="C12" s="8" t="inlineStr">
        <is>
          <t>60%</t>
        </is>
      </c>
      <c r="D12" s="12" t="n">
        <v>350</v>
      </c>
      <c r="E12" s="12" t="n">
        <v>18</v>
      </c>
      <c r="F12" s="12" t="n">
        <v>150</v>
      </c>
      <c r="G12" s="12" t="n">
        <v>80</v>
      </c>
      <c r="H12" s="12" t="n">
        <v>0</v>
      </c>
      <c r="I12" s="12" t="n">
        <v>10000</v>
      </c>
    </row>
    <row r="13">
      <c r="A13" s="7" t="inlineStr">
        <is>
          <t>AMD MI325X 服务器</t>
        </is>
      </c>
      <c r="B13" s="12" t="n">
        <v>9000</v>
      </c>
      <c r="C13" s="8" t="inlineStr">
        <is>
          <t>62%</t>
        </is>
      </c>
      <c r="D13" s="12" t="n">
        <v>380</v>
      </c>
      <c r="E13" s="12" t="n">
        <v>20</v>
      </c>
      <c r="F13" s="12" t="n">
        <v>180</v>
      </c>
      <c r="G13" s="12" t="n">
        <v>90</v>
      </c>
      <c r="H13" s="12" t="n">
        <v>0</v>
      </c>
      <c r="I13" s="12" t="n">
        <v>11000</v>
      </c>
    </row>
    <row r="14">
      <c r="A14" s="7" t="inlineStr">
        <is>
          <t>AMD MI350 服务器</t>
        </is>
      </c>
      <c r="B14" s="12" t="n">
        <v>12000</v>
      </c>
      <c r="C14" s="8" t="inlineStr">
        <is>
          <t>64%</t>
        </is>
      </c>
      <c r="D14" s="12" t="n">
        <v>450</v>
      </c>
      <c r="E14" s="12" t="n">
        <v>28</v>
      </c>
      <c r="F14" s="12" t="n">
        <v>250</v>
      </c>
      <c r="G14" s="12" t="n">
        <v>110</v>
      </c>
      <c r="H14" s="12" t="n">
        <v>1</v>
      </c>
      <c r="I14" s="12" t="n">
        <v>14000</v>
      </c>
    </row>
    <row r="15">
      <c r="A15" s="7" t="inlineStr">
        <is>
          <t>AMD MI400 服务器</t>
        </is>
      </c>
      <c r="B15" s="12" t="n">
        <v>15000</v>
      </c>
      <c r="C15" s="8" t="inlineStr">
        <is>
          <t>66%</t>
        </is>
      </c>
      <c r="D15" s="12" t="n">
        <v>600</v>
      </c>
      <c r="E15" s="12" t="n">
        <v>35</v>
      </c>
      <c r="F15" s="12" t="n">
        <v>350</v>
      </c>
      <c r="G15" s="12" t="n">
        <v>140</v>
      </c>
      <c r="H15" s="12" t="n">
        <v>2</v>
      </c>
      <c r="I15" s="12" t="n">
        <v>18000</v>
      </c>
    </row>
    <row r="16">
      <c r="A16" s="7" t="inlineStr">
        <is>
          <t>Google TPU 服务器</t>
        </is>
      </c>
      <c r="B16" s="12" t="n">
        <v>6000</v>
      </c>
      <c r="C16" s="8" t="inlineStr">
        <is>
          <t>60%</t>
        </is>
      </c>
      <c r="D16" s="12" t="n">
        <v>220</v>
      </c>
      <c r="E16" s="12" t="n">
        <v>15</v>
      </c>
      <c r="F16" s="12" t="n">
        <v>100</v>
      </c>
      <c r="G16" s="12" t="n">
        <v>70</v>
      </c>
      <c r="H16" s="12" t="n">
        <v>0</v>
      </c>
      <c r="I16" s="12" t="n">
        <v>9000</v>
      </c>
    </row>
    <row r="17">
      <c r="A17" s="7" t="inlineStr">
        <is>
          <t>AWS Trainium 服务器</t>
        </is>
      </c>
      <c r="B17" s="12" t="n">
        <v>7000</v>
      </c>
      <c r="C17" s="8" t="inlineStr">
        <is>
          <t>61%</t>
        </is>
      </c>
      <c r="D17" s="12" t="n">
        <v>250</v>
      </c>
      <c r="E17" s="12" t="n">
        <v>17</v>
      </c>
      <c r="F17" s="12" t="n">
        <v>120</v>
      </c>
      <c r="G17" s="12" t="n">
        <v>80</v>
      </c>
      <c r="H17" s="12" t="n">
        <v>0</v>
      </c>
      <c r="I17" s="12" t="n">
        <v>10000</v>
      </c>
    </row>
    <row r="18">
      <c r="A18" s="7" t="inlineStr">
        <is>
          <t>其他ASIC 服务器</t>
        </is>
      </c>
      <c r="B18" s="12" t="n">
        <v>6000</v>
      </c>
      <c r="C18" s="8" t="inlineStr">
        <is>
          <t>58%</t>
        </is>
      </c>
      <c r="D18" s="12" t="n">
        <v>220</v>
      </c>
      <c r="E18" s="12" t="n">
        <v>15</v>
      </c>
      <c r="F18" s="12" t="n">
        <v>100</v>
      </c>
      <c r="G18" s="12" t="n">
        <v>70</v>
      </c>
      <c r="H18" s="12" t="n">
        <v>0</v>
      </c>
      <c r="I18" s="12" t="n">
        <v>9000</v>
      </c>
    </row>
    <row r="19">
      <c r="A19" s="7" t="inlineStr">
        <is>
          <t>（参考）传统通用服务器</t>
        </is>
      </c>
      <c r="B19" s="12" t="n">
        <v>1000</v>
      </c>
      <c r="C19" s="8" t="inlineStr">
        <is>
          <t>20%</t>
        </is>
      </c>
      <c r="D19" s="12" t="n">
        <v>80</v>
      </c>
      <c r="E19" s="12" t="n">
        <v>5</v>
      </c>
      <c r="F19" s="12" t="n">
        <v>30</v>
      </c>
      <c r="G19" s="12" t="n">
        <v>30</v>
      </c>
      <c r="H19" s="12" t="n">
        <v>0</v>
      </c>
      <c r="I19" s="12" t="n">
        <v>1500</v>
      </c>
    </row>
    <row r="20">
      <c r="A20" s="9" t="inlineStr">
        <is>
          <t>• BOM来源：NVIDIA SuperCluster白皮书、SemiAnalysis拆机报告、TrendForce产业链调研</t>
        </is>
      </c>
    </row>
    <row r="21">
      <c r="A21" s="9" t="inlineStr">
        <is>
          <t>• GB200 NVL72 整机柜MLCC约44万颗为业内多方调研中位数（Murata/三星电机表态、Yano Research）</t>
        </is>
      </c>
    </row>
    <row r="22">
      <c r="A22" s="9" t="inlineStr">
        <is>
          <t>• GB300相对GB200单机柜增量主要来自更高HBM3e容量、更密集VRM、HVDC电源升级</t>
        </is>
      </c>
    </row>
    <row r="23">
      <c r="A23" s="9" t="inlineStr">
        <is>
          <t>• Rubin VR200/144 GPU相对GB200/72 GPU翻倍+功率密度上升，BOM按线性外推×1.6</t>
        </is>
      </c>
    </row>
    <row r="24">
      <c r="A24" s="9" t="inlineStr">
        <is>
          <t>• Rubin Ultra NVL576为概念性预测，单机柜功耗预期600kW+</t>
        </is>
      </c>
    </row>
    <row r="25">
      <c r="A25" s="9" t="inlineStr">
        <is>
          <t>• 高容值≥10μF占比快速提升来自薄层化+多层化技术持续渗透</t>
        </is>
      </c>
    </row>
    <row r="26">
      <c r="A26" s="9" t="inlineStr">
        <is>
          <t>• ASIC平台BOM相对GPU平台略低，因为电源拓扑相对简化、PCIe接口更少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假设页3：原厂产能与扩产计划（单位：十亿颗/年）</t>
        </is>
      </c>
    </row>
    <row r="2">
      <c r="A2" s="11" t="inlineStr">
        <is>
          <t>聚焦"高端AI/车规"品类产能（非全产能），含高容值小封装MLCC + AIDC级电感 + HVDC薄膜</t>
        </is>
      </c>
    </row>
    <row r="4">
      <c r="A4" s="16" t="inlineStr">
        <is>
          <t>[A] MLCC 高端品类产能（十亿颗/年）</t>
        </is>
      </c>
    </row>
    <row r="5">
      <c r="A5" s="6" t="inlineStr">
        <is>
          <t>原厂</t>
        </is>
      </c>
      <c r="B5" s="6" t="inlineStr">
        <is>
          <t>2024</t>
        </is>
      </c>
      <c r="C5" s="6" t="inlineStr">
        <is>
          <t>2025</t>
        </is>
      </c>
      <c r="D5" s="6" t="inlineStr">
        <is>
          <t>2026</t>
        </is>
      </c>
      <c r="E5" s="6" t="inlineStr">
        <is>
          <t>2027</t>
        </is>
      </c>
      <c r="F5" s="6" t="inlineStr">
        <is>
          <t>2028</t>
        </is>
      </c>
    </row>
    <row r="6">
      <c r="A6" s="7" t="inlineStr">
        <is>
          <t>Murata（村田）</t>
        </is>
      </c>
      <c r="B6" s="12" t="n">
        <v>30</v>
      </c>
      <c r="C6" s="12" t="n">
        <v>35</v>
      </c>
      <c r="D6" s="12" t="n">
        <v>40</v>
      </c>
      <c r="E6" s="12" t="n">
        <v>50</v>
      </c>
      <c r="F6" s="12" t="n">
        <v>65</v>
      </c>
    </row>
    <row r="7">
      <c r="A7" s="7" t="inlineStr">
        <is>
          <t>Samsung Electro-Mechanics</t>
        </is>
      </c>
      <c r="B7" s="12" t="n">
        <v>18</v>
      </c>
      <c r="C7" s="12" t="n">
        <v>22</v>
      </c>
      <c r="D7" s="12" t="n">
        <v>30</v>
      </c>
      <c r="E7" s="12" t="n">
        <v>42</v>
      </c>
      <c r="F7" s="12" t="n">
        <v>55</v>
      </c>
    </row>
    <row r="8">
      <c r="A8" s="7" t="inlineStr">
        <is>
          <t>Taiyo Yuden（太阳诱电）</t>
        </is>
      </c>
      <c r="B8" s="12" t="n">
        <v>10</v>
      </c>
      <c r="C8" s="12" t="n">
        <v>12</v>
      </c>
      <c r="D8" s="12" t="n">
        <v>15</v>
      </c>
      <c r="E8" s="12" t="n">
        <v>20</v>
      </c>
      <c r="F8" s="12" t="n">
        <v>26</v>
      </c>
    </row>
    <row r="9">
      <c r="A9" s="7" t="inlineStr">
        <is>
          <t>TDK</t>
        </is>
      </c>
      <c r="B9" s="12" t="n">
        <v>8</v>
      </c>
      <c r="C9" s="12" t="n">
        <v>9</v>
      </c>
      <c r="D9" s="12" t="n">
        <v>11</v>
      </c>
      <c r="E9" s="12" t="n">
        <v>14</v>
      </c>
      <c r="F9" s="12" t="n">
        <v>18</v>
      </c>
    </row>
    <row r="10">
      <c r="A10" s="7" t="inlineStr">
        <is>
          <t>Yageo（国巨）</t>
        </is>
      </c>
      <c r="B10" s="12" t="n">
        <v>5</v>
      </c>
      <c r="C10" s="12" t="n">
        <v>6</v>
      </c>
      <c r="D10" s="12" t="n">
        <v>8</v>
      </c>
      <c r="E10" s="12" t="n">
        <v>11</v>
      </c>
      <c r="F10" s="12" t="n">
        <v>15</v>
      </c>
    </row>
    <row r="11">
      <c r="A11" s="7" t="inlineStr">
        <is>
          <t>华新科（Walsin）</t>
        </is>
      </c>
      <c r="B11" s="12" t="n">
        <v>3</v>
      </c>
      <c r="C11" s="12" t="n">
        <v>4</v>
      </c>
      <c r="D11" s="12" t="n">
        <v>5</v>
      </c>
      <c r="E11" s="12" t="n">
        <v>7</v>
      </c>
      <c r="F11" s="12" t="n">
        <v>9</v>
      </c>
    </row>
    <row r="12">
      <c r="A12" s="7" t="inlineStr">
        <is>
          <t>三环集团（中国）</t>
        </is>
      </c>
      <c r="B12" s="12" t="n">
        <v>1</v>
      </c>
      <c r="C12" s="12" t="n">
        <v>2</v>
      </c>
      <c r="D12" s="12" t="n">
        <v>3</v>
      </c>
      <c r="E12" s="12" t="n">
        <v>5</v>
      </c>
      <c r="F12" s="12" t="n">
        <v>8</v>
      </c>
    </row>
    <row r="13">
      <c r="A13" s="7" t="inlineStr">
        <is>
          <t>风华高科（中国）</t>
        </is>
      </c>
      <c r="B13" s="12" t="n">
        <v>1</v>
      </c>
      <c r="C13" s="12" t="n">
        <v>1.5</v>
      </c>
      <c r="D13" s="12" t="n">
        <v>2.5</v>
      </c>
      <c r="E13" s="12" t="n">
        <v>4</v>
      </c>
      <c r="F13" s="12" t="n">
        <v>7</v>
      </c>
    </row>
    <row r="14">
      <c r="A14" s="7" t="inlineStr">
        <is>
          <t>其他厂商</t>
        </is>
      </c>
      <c r="B14" s="12" t="n">
        <v>4</v>
      </c>
      <c r="C14" s="12" t="n">
        <v>5</v>
      </c>
      <c r="D14" s="12" t="n">
        <v>7</v>
      </c>
      <c r="E14" s="12" t="n">
        <v>10</v>
      </c>
      <c r="F14" s="12" t="n">
        <v>13</v>
      </c>
    </row>
    <row r="15">
      <c r="A15" s="17" t="inlineStr">
        <is>
          <t>MLCC 高端总产能</t>
        </is>
      </c>
      <c r="B15" s="15">
        <f>SUM(B6:B14)</f>
        <v/>
      </c>
      <c r="C15" s="15">
        <f>SUM(C6:C14)</f>
        <v/>
      </c>
      <c r="D15" s="15">
        <f>SUM(D6:D14)</f>
        <v/>
      </c>
      <c r="E15" s="15">
        <f>SUM(E6:E14)</f>
        <v/>
      </c>
      <c r="F15" s="15">
        <f>SUM(F6:F14)</f>
        <v/>
      </c>
    </row>
    <row r="17">
      <c r="A17" s="16" t="inlineStr">
        <is>
          <t>[B] 高端AI功率电感产能（亿颗/年）</t>
        </is>
      </c>
    </row>
    <row r="18">
      <c r="A18" s="6" t="inlineStr">
        <is>
          <t>原厂</t>
        </is>
      </c>
      <c r="B18" s="6" t="inlineStr">
        <is>
          <t>2024</t>
        </is>
      </c>
      <c r="C18" s="6" t="inlineStr">
        <is>
          <t>2025</t>
        </is>
      </c>
      <c r="D18" s="6" t="inlineStr">
        <is>
          <t>2026</t>
        </is>
      </c>
      <c r="E18" s="6" t="inlineStr">
        <is>
          <t>2027</t>
        </is>
      </c>
      <c r="F18" s="6" t="inlineStr">
        <is>
          <t>2028</t>
        </is>
      </c>
    </row>
    <row r="19">
      <c r="A19" s="7" t="inlineStr">
        <is>
          <t>Vishay (IHLP)</t>
        </is>
      </c>
      <c r="B19" s="12" t="n">
        <v>8</v>
      </c>
      <c r="C19" s="12" t="n">
        <v>10</v>
      </c>
      <c r="D19" s="12" t="n">
        <v>12</v>
      </c>
      <c r="E19" s="12" t="n">
        <v>15</v>
      </c>
      <c r="F19" s="12" t="n">
        <v>19</v>
      </c>
    </row>
    <row r="20">
      <c r="A20" s="7" t="inlineStr">
        <is>
          <t>TDK (SPM)</t>
        </is>
      </c>
      <c r="B20" s="12" t="n">
        <v>6</v>
      </c>
      <c r="C20" s="12" t="n">
        <v>7</v>
      </c>
      <c r="D20" s="12" t="n">
        <v>9</v>
      </c>
      <c r="E20" s="12" t="n">
        <v>12</v>
      </c>
      <c r="F20" s="12" t="n">
        <v>16</v>
      </c>
    </row>
    <row r="21">
      <c r="A21" s="7" t="inlineStr">
        <is>
          <t>Murata</t>
        </is>
      </c>
      <c r="B21" s="12" t="n">
        <v>5</v>
      </c>
      <c r="C21" s="12" t="n">
        <v>6</v>
      </c>
      <c r="D21" s="12" t="n">
        <v>8</v>
      </c>
      <c r="E21" s="12" t="n">
        <v>10</v>
      </c>
      <c r="F21" s="12" t="n">
        <v>13</v>
      </c>
    </row>
    <row r="22">
      <c r="A22" s="7" t="inlineStr">
        <is>
          <t>顺络电子</t>
        </is>
      </c>
      <c r="B22" s="12" t="n">
        <v>3</v>
      </c>
      <c r="C22" s="12" t="n">
        <v>5</v>
      </c>
      <c r="D22" s="12" t="n">
        <v>8</v>
      </c>
      <c r="E22" s="12" t="n">
        <v>12</v>
      </c>
      <c r="F22" s="12" t="n">
        <v>18</v>
      </c>
    </row>
    <row r="23">
      <c r="A23" s="7" t="inlineStr">
        <is>
          <t>奇力新</t>
        </is>
      </c>
      <c r="B23" s="12" t="n">
        <v>4</v>
      </c>
      <c r="C23" s="12" t="n">
        <v>5</v>
      </c>
      <c r="D23" s="12" t="n">
        <v>6</v>
      </c>
      <c r="E23" s="12" t="n">
        <v>8</v>
      </c>
      <c r="F23" s="12" t="n">
        <v>11</v>
      </c>
    </row>
    <row r="24">
      <c r="A24" s="7" t="inlineStr">
        <is>
          <t>其他</t>
        </is>
      </c>
      <c r="B24" s="12" t="n">
        <v>6</v>
      </c>
      <c r="C24" s="12" t="n">
        <v>8</v>
      </c>
      <c r="D24" s="12" t="n">
        <v>10</v>
      </c>
      <c r="E24" s="12" t="n">
        <v>13</v>
      </c>
      <c r="F24" s="12" t="n">
        <v>17</v>
      </c>
    </row>
    <row r="25">
      <c r="A25" s="17" t="inlineStr">
        <is>
          <t>电感高端总产能</t>
        </is>
      </c>
      <c r="B25" s="15">
        <f>SUM(B19:B24)</f>
        <v/>
      </c>
      <c r="C25" s="15">
        <f>SUM(C19:C24)</f>
        <v/>
      </c>
      <c r="D25" s="15">
        <f>SUM(D19:D24)</f>
        <v/>
      </c>
      <c r="E25" s="15">
        <f>SUM(E19:E24)</f>
        <v/>
      </c>
      <c r="F25" s="15">
        <f>SUM(F19:F24)</f>
        <v/>
      </c>
    </row>
    <row r="27">
      <c r="A27" s="16" t="inlineStr">
        <is>
          <t>[C] HVDC薄膜电容产能（百万颗/年）</t>
        </is>
      </c>
    </row>
    <row r="28">
      <c r="A28" s="6" t="inlineStr">
        <is>
          <t>原厂</t>
        </is>
      </c>
      <c r="B28" s="6" t="inlineStr">
        <is>
          <t>2024</t>
        </is>
      </c>
      <c r="C28" s="6" t="inlineStr">
        <is>
          <t>2025</t>
        </is>
      </c>
      <c r="D28" s="6" t="inlineStr">
        <is>
          <t>2026</t>
        </is>
      </c>
      <c r="E28" s="6" t="inlineStr">
        <is>
          <t>2027</t>
        </is>
      </c>
      <c r="F28" s="6" t="inlineStr">
        <is>
          <t>2028</t>
        </is>
      </c>
    </row>
    <row r="29">
      <c r="A29" s="7" t="inlineStr">
        <is>
          <t>TDK Epcos</t>
        </is>
      </c>
      <c r="B29" s="12" t="n">
        <v>60</v>
      </c>
      <c r="C29" s="12" t="n">
        <v>70</v>
      </c>
      <c r="D29" s="12" t="n">
        <v>90</v>
      </c>
      <c r="E29" s="12" t="n">
        <v>120</v>
      </c>
      <c r="F29" s="12" t="n">
        <v>150</v>
      </c>
    </row>
    <row r="30">
      <c r="A30" s="7" t="inlineStr">
        <is>
          <t>Vishay</t>
        </is>
      </c>
      <c r="B30" s="12" t="n">
        <v>40</v>
      </c>
      <c r="C30" s="12" t="n">
        <v>50</v>
      </c>
      <c r="D30" s="12" t="n">
        <v>65</v>
      </c>
      <c r="E30" s="12" t="n">
        <v>85</v>
      </c>
      <c r="F30" s="12" t="n">
        <v>110</v>
      </c>
    </row>
    <row r="31">
      <c r="A31" s="7" t="inlineStr">
        <is>
          <t>Kemet/Yageo</t>
        </is>
      </c>
      <c r="B31" s="12" t="n">
        <v>30</v>
      </c>
      <c r="C31" s="12" t="n">
        <v>35</v>
      </c>
      <c r="D31" s="12" t="n">
        <v>45</v>
      </c>
      <c r="E31" s="12" t="n">
        <v>60</v>
      </c>
      <c r="F31" s="12" t="n">
        <v>80</v>
      </c>
    </row>
    <row r="32">
      <c r="A32" s="7" t="inlineStr">
        <is>
          <t>Nichicon</t>
        </is>
      </c>
      <c r="B32" s="12" t="n">
        <v>20</v>
      </c>
      <c r="C32" s="12" t="n">
        <v>25</v>
      </c>
      <c r="D32" s="12" t="n">
        <v>32</v>
      </c>
      <c r="E32" s="12" t="n">
        <v>42</v>
      </c>
      <c r="F32" s="12" t="n">
        <v>55</v>
      </c>
    </row>
    <row r="33">
      <c r="A33" s="7" t="inlineStr">
        <is>
          <t>法拉电子</t>
        </is>
      </c>
      <c r="B33" s="12" t="n">
        <v>25</v>
      </c>
      <c r="C33" s="12" t="n">
        <v>35</v>
      </c>
      <c r="D33" s="12" t="n">
        <v>55</v>
      </c>
      <c r="E33" s="12" t="n">
        <v>80</v>
      </c>
      <c r="F33" s="12" t="n">
        <v>110</v>
      </c>
    </row>
    <row r="34">
      <c r="A34" s="7" t="inlineStr">
        <is>
          <t>江海股份</t>
        </is>
      </c>
      <c r="B34" s="12" t="n">
        <v>8</v>
      </c>
      <c r="C34" s="12" t="n">
        <v>12</v>
      </c>
      <c r="D34" s="12" t="n">
        <v>20</v>
      </c>
      <c r="E34" s="12" t="n">
        <v>32</v>
      </c>
      <c r="F34" s="12" t="n">
        <v>48</v>
      </c>
    </row>
    <row r="35">
      <c r="A35" s="7" t="inlineStr">
        <is>
          <t>其他</t>
        </is>
      </c>
      <c r="B35" s="12" t="n">
        <v>30</v>
      </c>
      <c r="C35" s="12" t="n">
        <v>40</v>
      </c>
      <c r="D35" s="12" t="n">
        <v>55</v>
      </c>
      <c r="E35" s="12" t="n">
        <v>75</v>
      </c>
      <c r="F35" s="12" t="n">
        <v>100</v>
      </c>
    </row>
    <row r="36">
      <c r="A36" s="17" t="inlineStr">
        <is>
          <t>薄膜高端总产能</t>
        </is>
      </c>
      <c r="B36" s="15">
        <f>SUM(B29:B35)</f>
        <v/>
      </c>
      <c r="C36" s="15">
        <f>SUM(C29:C35)</f>
        <v/>
      </c>
      <c r="D36" s="15">
        <f>SUM(D29:D35)</f>
        <v/>
      </c>
      <c r="E36" s="15">
        <f>SUM(E29:E35)</f>
        <v/>
      </c>
      <c r="F36" s="15">
        <f>SUM(F29:F35)</f>
        <v/>
      </c>
    </row>
    <row r="38">
      <c r="A38" s="9" t="inlineStr">
        <is>
          <t>• MLCC高端产能假设：仅包含适用于AI/车规的≥10μF小封装、低ESR、高压(≥500V)等品类</t>
        </is>
      </c>
    </row>
    <row r="39">
      <c r="A39" s="9" t="inlineStr">
        <is>
          <t>• 产能数据为业内估算，2024-2025年为实际值复盘，2026-2028年为基于公开扩产计划的推算</t>
        </is>
      </c>
    </row>
    <row r="40">
      <c r="A40" s="9" t="inlineStr">
        <is>
          <t>• 三星电机菲律宾Calamba新厂2026Q2投产，对应2026/2027产能跳跃</t>
        </is>
      </c>
    </row>
    <row r="41">
      <c r="A41" s="9" t="inlineStr">
        <is>
          <t>• Murata 2026年发布50亿日元AI server power module目标，对应高端产能扩产</t>
        </is>
      </c>
    </row>
    <row r="42">
      <c r="A42" s="9" t="inlineStr">
        <is>
          <t>• 国内三环、风华扩产积极，但有效产能仍需2-3年良率爬坡</t>
        </is>
      </c>
    </row>
    <row r="43">
      <c r="A43" s="9" t="inlineStr">
        <is>
          <t>• 电感产能含合金粉末模压电感、TLVR耦合电感、垂直供电模块电感</t>
        </is>
      </c>
    </row>
    <row r="44">
      <c r="A44" s="9" t="inlineStr">
        <is>
          <t>• 薄膜电容产能含金属化PP薄膜、HVDC母线大容量产品</t>
        </is>
      </c>
    </row>
  </sheetData>
  <mergeCells count="4">
    <mergeCell ref="A4:H4"/>
    <mergeCell ref="A27:H27"/>
    <mergeCell ref="A17:H17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0" t="inlineStr">
        <is>
          <t>MLCC需求矩阵（按平台×年，单位：十亿颗）</t>
        </is>
      </c>
    </row>
    <row r="2">
      <c r="A2" s="11" t="inlineStr">
        <is>
          <t>需求 = 平台出货量(千) × 单机MLCC用量(颗) ÷ 1,000,000 = 十亿颗</t>
        </is>
      </c>
    </row>
    <row r="4">
      <c r="A4" s="6" t="inlineStr">
        <is>
          <t>平台</t>
        </is>
      </c>
      <c r="B4" s="6" t="inlineStr">
        <is>
          <t>单机MLCC用量(颗)</t>
        </is>
      </c>
      <c r="C4" s="6" t="inlineStr">
        <is>
          <t>2024</t>
        </is>
      </c>
      <c r="D4" s="6" t="inlineStr">
        <is>
          <t>2025</t>
        </is>
      </c>
      <c r="E4" s="6" t="inlineStr">
        <is>
          <t>2026</t>
        </is>
      </c>
      <c r="F4" s="6" t="inlineStr">
        <is>
          <t>2027</t>
        </is>
      </c>
      <c r="G4" s="6" t="inlineStr">
        <is>
          <t>2028</t>
        </is>
      </c>
    </row>
    <row r="5">
      <c r="A5" s="7">
        <f>'03_Assumptions_BOM'!A5</f>
        <v/>
      </c>
      <c r="B5" s="8">
        <f>'03_Assumptions_BOM'!B5</f>
        <v/>
      </c>
      <c r="C5" s="18">
        <f>'02_Assumptions_GPU'!D5*'03_Assumptions_BOM'!B5/1000000</f>
        <v/>
      </c>
      <c r="D5" s="18">
        <f>'02_Assumptions_GPU'!E5*'03_Assumptions_BOM'!B5/1000000</f>
        <v/>
      </c>
      <c r="E5" s="18">
        <f>'02_Assumptions_GPU'!F5*'03_Assumptions_BOM'!B5/1000000</f>
        <v/>
      </c>
      <c r="F5" s="18">
        <f>'02_Assumptions_GPU'!G5*'03_Assumptions_BOM'!B5/1000000</f>
        <v/>
      </c>
      <c r="G5" s="18">
        <f>'02_Assumptions_GPU'!H5*'03_Assumptions_BOM'!B5/1000000</f>
        <v/>
      </c>
    </row>
    <row r="6">
      <c r="A6" s="7">
        <f>'03_Assumptions_BOM'!A6</f>
        <v/>
      </c>
      <c r="B6" s="8">
        <f>'03_Assumptions_BOM'!B6</f>
        <v/>
      </c>
      <c r="C6" s="18">
        <f>'02_Assumptions_GPU'!D6*'03_Assumptions_BOM'!B6/1000000</f>
        <v/>
      </c>
      <c r="D6" s="18">
        <f>'02_Assumptions_GPU'!E6*'03_Assumptions_BOM'!B6/1000000</f>
        <v/>
      </c>
      <c r="E6" s="18">
        <f>'02_Assumptions_GPU'!F6*'03_Assumptions_BOM'!B6/1000000</f>
        <v/>
      </c>
      <c r="F6" s="18">
        <f>'02_Assumptions_GPU'!G6*'03_Assumptions_BOM'!B6/1000000</f>
        <v/>
      </c>
      <c r="G6" s="18">
        <f>'02_Assumptions_GPU'!H6*'03_Assumptions_BOM'!B6/1000000</f>
        <v/>
      </c>
    </row>
    <row r="7">
      <c r="A7" s="7">
        <f>'03_Assumptions_BOM'!A7</f>
        <v/>
      </c>
      <c r="B7" s="8">
        <f>'03_Assumptions_BOM'!B7</f>
        <v/>
      </c>
      <c r="C7" s="18">
        <f>'02_Assumptions_GPU'!D7*'03_Assumptions_BOM'!B7/1000000</f>
        <v/>
      </c>
      <c r="D7" s="18">
        <f>'02_Assumptions_GPU'!E7*'03_Assumptions_BOM'!B7/1000000</f>
        <v/>
      </c>
      <c r="E7" s="18">
        <f>'02_Assumptions_GPU'!F7*'03_Assumptions_BOM'!B7/1000000</f>
        <v/>
      </c>
      <c r="F7" s="18">
        <f>'02_Assumptions_GPU'!G7*'03_Assumptions_BOM'!B7/1000000</f>
        <v/>
      </c>
      <c r="G7" s="18">
        <f>'02_Assumptions_GPU'!H7*'03_Assumptions_BOM'!B7/1000000</f>
        <v/>
      </c>
    </row>
    <row r="8">
      <c r="A8" s="7">
        <f>'03_Assumptions_BOM'!A8</f>
        <v/>
      </c>
      <c r="B8" s="8">
        <f>'03_Assumptions_BOM'!B8</f>
        <v/>
      </c>
      <c r="C8" s="18">
        <f>'02_Assumptions_GPU'!D8*'03_Assumptions_BOM'!B8/1000000</f>
        <v/>
      </c>
      <c r="D8" s="18">
        <f>'02_Assumptions_GPU'!E8*'03_Assumptions_BOM'!B8/1000000</f>
        <v/>
      </c>
      <c r="E8" s="18">
        <f>'02_Assumptions_GPU'!F8*'03_Assumptions_BOM'!B8/1000000</f>
        <v/>
      </c>
      <c r="F8" s="18">
        <f>'02_Assumptions_GPU'!G8*'03_Assumptions_BOM'!B8/1000000</f>
        <v/>
      </c>
      <c r="G8" s="18">
        <f>'02_Assumptions_GPU'!H8*'03_Assumptions_BOM'!B8/1000000</f>
        <v/>
      </c>
    </row>
    <row r="9">
      <c r="A9" s="7">
        <f>'03_Assumptions_BOM'!A9</f>
        <v/>
      </c>
      <c r="B9" s="8">
        <f>'03_Assumptions_BOM'!B9</f>
        <v/>
      </c>
      <c r="C9" s="18">
        <f>'02_Assumptions_GPU'!D9*'03_Assumptions_BOM'!B9/1000000</f>
        <v/>
      </c>
      <c r="D9" s="18">
        <f>'02_Assumptions_GPU'!E9*'03_Assumptions_BOM'!B9/1000000</f>
        <v/>
      </c>
      <c r="E9" s="18">
        <f>'02_Assumptions_GPU'!F9*'03_Assumptions_BOM'!B9/1000000</f>
        <v/>
      </c>
      <c r="F9" s="18">
        <f>'02_Assumptions_GPU'!G9*'03_Assumptions_BOM'!B9/1000000</f>
        <v/>
      </c>
      <c r="G9" s="18">
        <f>'02_Assumptions_GPU'!H9*'03_Assumptions_BOM'!B9/1000000</f>
        <v/>
      </c>
    </row>
    <row r="10">
      <c r="A10" s="7">
        <f>'03_Assumptions_BOM'!A10</f>
        <v/>
      </c>
      <c r="B10" s="8">
        <f>'03_Assumptions_BOM'!B10</f>
        <v/>
      </c>
      <c r="C10" s="18">
        <f>'02_Assumptions_GPU'!D10*'03_Assumptions_BOM'!B10/1000000</f>
        <v/>
      </c>
      <c r="D10" s="18">
        <f>'02_Assumptions_GPU'!E10*'03_Assumptions_BOM'!B10/1000000</f>
        <v/>
      </c>
      <c r="E10" s="18">
        <f>'02_Assumptions_GPU'!F10*'03_Assumptions_BOM'!B10/1000000</f>
        <v/>
      </c>
      <c r="F10" s="18">
        <f>'02_Assumptions_GPU'!G10*'03_Assumptions_BOM'!B10/1000000</f>
        <v/>
      </c>
      <c r="G10" s="18">
        <f>'02_Assumptions_GPU'!H10*'03_Assumptions_BOM'!B10/1000000</f>
        <v/>
      </c>
    </row>
    <row r="11">
      <c r="A11" s="7">
        <f>'03_Assumptions_BOM'!A11</f>
        <v/>
      </c>
      <c r="B11" s="8">
        <f>'03_Assumptions_BOM'!B11</f>
        <v/>
      </c>
      <c r="C11" s="18">
        <f>'02_Assumptions_GPU'!D11*'03_Assumptions_BOM'!B11/1000000</f>
        <v/>
      </c>
      <c r="D11" s="18">
        <f>'02_Assumptions_GPU'!E11*'03_Assumptions_BOM'!B11/1000000</f>
        <v/>
      </c>
      <c r="E11" s="18">
        <f>'02_Assumptions_GPU'!F11*'03_Assumptions_BOM'!B11/1000000</f>
        <v/>
      </c>
      <c r="F11" s="18">
        <f>'02_Assumptions_GPU'!G11*'03_Assumptions_BOM'!B11/1000000</f>
        <v/>
      </c>
      <c r="G11" s="18">
        <f>'02_Assumptions_GPU'!H11*'03_Assumptions_BOM'!B11/1000000</f>
        <v/>
      </c>
    </row>
    <row r="12">
      <c r="A12" s="7">
        <f>'03_Assumptions_BOM'!A12</f>
        <v/>
      </c>
      <c r="B12" s="8">
        <f>'03_Assumptions_BOM'!B12</f>
        <v/>
      </c>
      <c r="C12" s="18">
        <f>'02_Assumptions_GPU'!D12*'03_Assumptions_BOM'!B12/1000000</f>
        <v/>
      </c>
      <c r="D12" s="18">
        <f>'02_Assumptions_GPU'!E12*'03_Assumptions_BOM'!B12/1000000</f>
        <v/>
      </c>
      <c r="E12" s="18">
        <f>'02_Assumptions_GPU'!F12*'03_Assumptions_BOM'!B12/1000000</f>
        <v/>
      </c>
      <c r="F12" s="18">
        <f>'02_Assumptions_GPU'!G12*'03_Assumptions_BOM'!B12/1000000</f>
        <v/>
      </c>
      <c r="G12" s="18">
        <f>'02_Assumptions_GPU'!H12*'03_Assumptions_BOM'!B12/1000000</f>
        <v/>
      </c>
    </row>
    <row r="13">
      <c r="A13" s="7">
        <f>'03_Assumptions_BOM'!A13</f>
        <v/>
      </c>
      <c r="B13" s="8">
        <f>'03_Assumptions_BOM'!B13</f>
        <v/>
      </c>
      <c r="C13" s="18">
        <f>'02_Assumptions_GPU'!D13*'03_Assumptions_BOM'!B13/1000000</f>
        <v/>
      </c>
      <c r="D13" s="18">
        <f>'02_Assumptions_GPU'!E13*'03_Assumptions_BOM'!B13/1000000</f>
        <v/>
      </c>
      <c r="E13" s="18">
        <f>'02_Assumptions_GPU'!F13*'03_Assumptions_BOM'!B13/1000000</f>
        <v/>
      </c>
      <c r="F13" s="18">
        <f>'02_Assumptions_GPU'!G13*'03_Assumptions_BOM'!B13/1000000</f>
        <v/>
      </c>
      <c r="G13" s="18">
        <f>'02_Assumptions_GPU'!H13*'03_Assumptions_BOM'!B13/1000000</f>
        <v/>
      </c>
    </row>
    <row r="14">
      <c r="A14" s="7">
        <f>'03_Assumptions_BOM'!A14</f>
        <v/>
      </c>
      <c r="B14" s="8">
        <f>'03_Assumptions_BOM'!B14</f>
        <v/>
      </c>
      <c r="C14" s="18">
        <f>'02_Assumptions_GPU'!D14*'03_Assumptions_BOM'!B14/1000000</f>
        <v/>
      </c>
      <c r="D14" s="18">
        <f>'02_Assumptions_GPU'!E14*'03_Assumptions_BOM'!B14/1000000</f>
        <v/>
      </c>
      <c r="E14" s="18">
        <f>'02_Assumptions_GPU'!F14*'03_Assumptions_BOM'!B14/1000000</f>
        <v/>
      </c>
      <c r="F14" s="18">
        <f>'02_Assumptions_GPU'!G14*'03_Assumptions_BOM'!B14/1000000</f>
        <v/>
      </c>
      <c r="G14" s="18">
        <f>'02_Assumptions_GPU'!H14*'03_Assumptions_BOM'!B14/1000000</f>
        <v/>
      </c>
    </row>
    <row r="15">
      <c r="A15" s="7">
        <f>'03_Assumptions_BOM'!A15</f>
        <v/>
      </c>
      <c r="B15" s="8">
        <f>'03_Assumptions_BOM'!B15</f>
        <v/>
      </c>
      <c r="C15" s="18">
        <f>'02_Assumptions_GPU'!D15*'03_Assumptions_BOM'!B15/1000000</f>
        <v/>
      </c>
      <c r="D15" s="18">
        <f>'02_Assumptions_GPU'!E15*'03_Assumptions_BOM'!B15/1000000</f>
        <v/>
      </c>
      <c r="E15" s="18">
        <f>'02_Assumptions_GPU'!F15*'03_Assumptions_BOM'!B15/1000000</f>
        <v/>
      </c>
      <c r="F15" s="18">
        <f>'02_Assumptions_GPU'!G15*'03_Assumptions_BOM'!B15/1000000</f>
        <v/>
      </c>
      <c r="G15" s="18">
        <f>'02_Assumptions_GPU'!H15*'03_Assumptions_BOM'!B15/1000000</f>
        <v/>
      </c>
    </row>
    <row r="16">
      <c r="A16" s="7">
        <f>'03_Assumptions_BOM'!A16</f>
        <v/>
      </c>
      <c r="B16" s="8">
        <f>'03_Assumptions_BOM'!B16</f>
        <v/>
      </c>
      <c r="C16" s="18">
        <f>'02_Assumptions_GPU'!D16*'03_Assumptions_BOM'!B16/1000000</f>
        <v/>
      </c>
      <c r="D16" s="18">
        <f>'02_Assumptions_GPU'!E16*'03_Assumptions_BOM'!B16/1000000</f>
        <v/>
      </c>
      <c r="E16" s="18">
        <f>'02_Assumptions_GPU'!F16*'03_Assumptions_BOM'!B16/1000000</f>
        <v/>
      </c>
      <c r="F16" s="18">
        <f>'02_Assumptions_GPU'!G16*'03_Assumptions_BOM'!B16/1000000</f>
        <v/>
      </c>
      <c r="G16" s="18">
        <f>'02_Assumptions_GPU'!H16*'03_Assumptions_BOM'!B16/1000000</f>
        <v/>
      </c>
    </row>
    <row r="17">
      <c r="A17" s="7">
        <f>'03_Assumptions_BOM'!A17</f>
        <v/>
      </c>
      <c r="B17" s="8">
        <f>'03_Assumptions_BOM'!B17</f>
        <v/>
      </c>
      <c r="C17" s="18">
        <f>'02_Assumptions_GPU'!D17*'03_Assumptions_BOM'!B17/1000000</f>
        <v/>
      </c>
      <c r="D17" s="18">
        <f>'02_Assumptions_GPU'!E17*'03_Assumptions_BOM'!B17/1000000</f>
        <v/>
      </c>
      <c r="E17" s="18">
        <f>'02_Assumptions_GPU'!F17*'03_Assumptions_BOM'!B17/1000000</f>
        <v/>
      </c>
      <c r="F17" s="18">
        <f>'02_Assumptions_GPU'!G17*'03_Assumptions_BOM'!B17/1000000</f>
        <v/>
      </c>
      <c r="G17" s="18">
        <f>'02_Assumptions_GPU'!H17*'03_Assumptions_BOM'!B17/1000000</f>
        <v/>
      </c>
    </row>
    <row r="18">
      <c r="A18" s="7">
        <f>'03_Assumptions_BOM'!A18</f>
        <v/>
      </c>
      <c r="B18" s="8">
        <f>'03_Assumptions_BOM'!B18</f>
        <v/>
      </c>
      <c r="C18" s="18">
        <f>'02_Assumptions_GPU'!D18*'03_Assumptions_BOM'!B18/1000000</f>
        <v/>
      </c>
      <c r="D18" s="18">
        <f>'02_Assumptions_GPU'!E18*'03_Assumptions_BOM'!B18/1000000</f>
        <v/>
      </c>
      <c r="E18" s="18">
        <f>'02_Assumptions_GPU'!F18*'03_Assumptions_BOM'!B18/1000000</f>
        <v/>
      </c>
      <c r="F18" s="18">
        <f>'02_Assumptions_GPU'!G18*'03_Assumptions_BOM'!B18/1000000</f>
        <v/>
      </c>
      <c r="G18" s="18">
        <f>'02_Assumptions_GPU'!H18*'03_Assumptions_BOM'!B18/1000000</f>
        <v/>
      </c>
    </row>
    <row r="19">
      <c r="A19" s="17" t="inlineStr">
        <is>
          <t>AIDC合计 MLCC需求</t>
        </is>
      </c>
      <c r="B19" s="14" t="n"/>
      <c r="C19" s="19">
        <f>SUM(C5:C18)</f>
        <v/>
      </c>
      <c r="D19" s="19">
        <f>SUM(D5:D18)</f>
        <v/>
      </c>
      <c r="E19" s="19">
        <f>SUM(E5:E18)</f>
        <v/>
      </c>
      <c r="F19" s="19">
        <f>SUM(F5:F18)</f>
        <v/>
      </c>
      <c r="G19" s="19">
        <f>SUM(G5:G18)</f>
        <v/>
      </c>
    </row>
    <row r="20">
      <c r="A20" s="20" t="inlineStr">
        <is>
          <t>非AIDC需求（消费/工业/车/通讯/传统服务器）</t>
        </is>
      </c>
      <c r="B20" s="21" t="n"/>
      <c r="C20" s="22" t="n">
        <v>70</v>
      </c>
      <c r="D20" s="22" t="n">
        <v>75</v>
      </c>
      <c r="E20" s="22" t="n">
        <v>80</v>
      </c>
      <c r="F20" s="22" t="n">
        <v>85</v>
      </c>
      <c r="G20" s="22" t="n">
        <v>90</v>
      </c>
    </row>
    <row r="21">
      <c r="A21" s="17" t="inlineStr">
        <is>
          <t>高端MLCC总需求</t>
        </is>
      </c>
      <c r="B21" s="14" t="n"/>
      <c r="C21" s="19">
        <f>C19+C20</f>
        <v/>
      </c>
      <c r="D21" s="19">
        <f>D19+D20</f>
        <v/>
      </c>
      <c r="E21" s="19">
        <f>E19+E20</f>
        <v/>
      </c>
      <c r="F21" s="19">
        <f>F19+F20</f>
        <v/>
      </c>
      <c r="G21" s="19">
        <f>G19+G20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0" t="inlineStr">
        <is>
          <t>功率电感需求矩阵（按平台×年，单位：亿颗）</t>
        </is>
      </c>
    </row>
    <row r="2">
      <c r="A2" s="11" t="inlineStr">
        <is>
          <t>需求 = 平台出货量(千) × 单机电感用量(颗) ÷ 100,000 = 亿颗</t>
        </is>
      </c>
    </row>
    <row r="4">
      <c r="A4" s="6" t="inlineStr">
        <is>
          <t>平台</t>
        </is>
      </c>
      <c r="B4" s="6" t="inlineStr">
        <is>
          <t>单机电感用量(颗)</t>
        </is>
      </c>
      <c r="C4" s="6" t="inlineStr">
        <is>
          <t>2024</t>
        </is>
      </c>
      <c r="D4" s="6" t="inlineStr">
        <is>
          <t>2025</t>
        </is>
      </c>
      <c r="E4" s="6" t="inlineStr">
        <is>
          <t>2026</t>
        </is>
      </c>
      <c r="F4" s="6" t="inlineStr">
        <is>
          <t>2027</t>
        </is>
      </c>
      <c r="G4" s="6" t="inlineStr">
        <is>
          <t>2028</t>
        </is>
      </c>
    </row>
    <row r="5">
      <c r="A5" s="7">
        <f>'03_Assumptions_BOM'!A5</f>
        <v/>
      </c>
      <c r="B5" s="8">
        <f>'03_Assumptions_BOM'!D5</f>
        <v/>
      </c>
      <c r="C5" s="18">
        <f>'02_Assumptions_GPU'!D5*'03_Assumptions_BOM'!D5/100000</f>
        <v/>
      </c>
      <c r="D5" s="18">
        <f>'02_Assumptions_GPU'!E5*'03_Assumptions_BOM'!D5/100000</f>
        <v/>
      </c>
      <c r="E5" s="18">
        <f>'02_Assumptions_GPU'!F5*'03_Assumptions_BOM'!D5/100000</f>
        <v/>
      </c>
      <c r="F5" s="18">
        <f>'02_Assumptions_GPU'!G5*'03_Assumptions_BOM'!D5/100000</f>
        <v/>
      </c>
      <c r="G5" s="18">
        <f>'02_Assumptions_GPU'!H5*'03_Assumptions_BOM'!D5/100000</f>
        <v/>
      </c>
    </row>
    <row r="6">
      <c r="A6" s="7">
        <f>'03_Assumptions_BOM'!A6</f>
        <v/>
      </c>
      <c r="B6" s="8">
        <f>'03_Assumptions_BOM'!D6</f>
        <v/>
      </c>
      <c r="C6" s="18">
        <f>'02_Assumptions_GPU'!D6*'03_Assumptions_BOM'!D6/100000</f>
        <v/>
      </c>
      <c r="D6" s="18">
        <f>'02_Assumptions_GPU'!E6*'03_Assumptions_BOM'!D6/100000</f>
        <v/>
      </c>
      <c r="E6" s="18">
        <f>'02_Assumptions_GPU'!F6*'03_Assumptions_BOM'!D6/100000</f>
        <v/>
      </c>
      <c r="F6" s="18">
        <f>'02_Assumptions_GPU'!G6*'03_Assumptions_BOM'!D6/100000</f>
        <v/>
      </c>
      <c r="G6" s="18">
        <f>'02_Assumptions_GPU'!H6*'03_Assumptions_BOM'!D6/100000</f>
        <v/>
      </c>
    </row>
    <row r="7">
      <c r="A7" s="7">
        <f>'03_Assumptions_BOM'!A7</f>
        <v/>
      </c>
      <c r="B7" s="8">
        <f>'03_Assumptions_BOM'!D7</f>
        <v/>
      </c>
      <c r="C7" s="18">
        <f>'02_Assumptions_GPU'!D7*'03_Assumptions_BOM'!D7/100000</f>
        <v/>
      </c>
      <c r="D7" s="18">
        <f>'02_Assumptions_GPU'!E7*'03_Assumptions_BOM'!D7/100000</f>
        <v/>
      </c>
      <c r="E7" s="18">
        <f>'02_Assumptions_GPU'!F7*'03_Assumptions_BOM'!D7/100000</f>
        <v/>
      </c>
      <c r="F7" s="18">
        <f>'02_Assumptions_GPU'!G7*'03_Assumptions_BOM'!D7/100000</f>
        <v/>
      </c>
      <c r="G7" s="18">
        <f>'02_Assumptions_GPU'!H7*'03_Assumptions_BOM'!D7/100000</f>
        <v/>
      </c>
    </row>
    <row r="8">
      <c r="A8" s="7">
        <f>'03_Assumptions_BOM'!A8</f>
        <v/>
      </c>
      <c r="B8" s="8">
        <f>'03_Assumptions_BOM'!D8</f>
        <v/>
      </c>
      <c r="C8" s="18">
        <f>'02_Assumptions_GPU'!D8*'03_Assumptions_BOM'!D8/100000</f>
        <v/>
      </c>
      <c r="D8" s="18">
        <f>'02_Assumptions_GPU'!E8*'03_Assumptions_BOM'!D8/100000</f>
        <v/>
      </c>
      <c r="E8" s="18">
        <f>'02_Assumptions_GPU'!F8*'03_Assumptions_BOM'!D8/100000</f>
        <v/>
      </c>
      <c r="F8" s="18">
        <f>'02_Assumptions_GPU'!G8*'03_Assumptions_BOM'!D8/100000</f>
        <v/>
      </c>
      <c r="G8" s="18">
        <f>'02_Assumptions_GPU'!H8*'03_Assumptions_BOM'!D8/100000</f>
        <v/>
      </c>
    </row>
    <row r="9">
      <c r="A9" s="7">
        <f>'03_Assumptions_BOM'!A9</f>
        <v/>
      </c>
      <c r="B9" s="8">
        <f>'03_Assumptions_BOM'!D9</f>
        <v/>
      </c>
      <c r="C9" s="18">
        <f>'02_Assumptions_GPU'!D9*'03_Assumptions_BOM'!D9/100000</f>
        <v/>
      </c>
      <c r="D9" s="18">
        <f>'02_Assumptions_GPU'!E9*'03_Assumptions_BOM'!D9/100000</f>
        <v/>
      </c>
      <c r="E9" s="18">
        <f>'02_Assumptions_GPU'!F9*'03_Assumptions_BOM'!D9/100000</f>
        <v/>
      </c>
      <c r="F9" s="18">
        <f>'02_Assumptions_GPU'!G9*'03_Assumptions_BOM'!D9/100000</f>
        <v/>
      </c>
      <c r="G9" s="18">
        <f>'02_Assumptions_GPU'!H9*'03_Assumptions_BOM'!D9/100000</f>
        <v/>
      </c>
    </row>
    <row r="10">
      <c r="A10" s="7">
        <f>'03_Assumptions_BOM'!A10</f>
        <v/>
      </c>
      <c r="B10" s="8">
        <f>'03_Assumptions_BOM'!D10</f>
        <v/>
      </c>
      <c r="C10" s="18">
        <f>'02_Assumptions_GPU'!D10*'03_Assumptions_BOM'!D10/100000</f>
        <v/>
      </c>
      <c r="D10" s="18">
        <f>'02_Assumptions_GPU'!E10*'03_Assumptions_BOM'!D10/100000</f>
        <v/>
      </c>
      <c r="E10" s="18">
        <f>'02_Assumptions_GPU'!F10*'03_Assumptions_BOM'!D10/100000</f>
        <v/>
      </c>
      <c r="F10" s="18">
        <f>'02_Assumptions_GPU'!G10*'03_Assumptions_BOM'!D10/100000</f>
        <v/>
      </c>
      <c r="G10" s="18">
        <f>'02_Assumptions_GPU'!H10*'03_Assumptions_BOM'!D10/100000</f>
        <v/>
      </c>
    </row>
    <row r="11">
      <c r="A11" s="7">
        <f>'03_Assumptions_BOM'!A11</f>
        <v/>
      </c>
      <c r="B11" s="8">
        <f>'03_Assumptions_BOM'!D11</f>
        <v/>
      </c>
      <c r="C11" s="18">
        <f>'02_Assumptions_GPU'!D11*'03_Assumptions_BOM'!D11/100000</f>
        <v/>
      </c>
      <c r="D11" s="18">
        <f>'02_Assumptions_GPU'!E11*'03_Assumptions_BOM'!D11/100000</f>
        <v/>
      </c>
      <c r="E11" s="18">
        <f>'02_Assumptions_GPU'!F11*'03_Assumptions_BOM'!D11/100000</f>
        <v/>
      </c>
      <c r="F11" s="18">
        <f>'02_Assumptions_GPU'!G11*'03_Assumptions_BOM'!D11/100000</f>
        <v/>
      </c>
      <c r="G11" s="18">
        <f>'02_Assumptions_GPU'!H11*'03_Assumptions_BOM'!D11/100000</f>
        <v/>
      </c>
    </row>
    <row r="12">
      <c r="A12" s="7">
        <f>'03_Assumptions_BOM'!A12</f>
        <v/>
      </c>
      <c r="B12" s="8">
        <f>'03_Assumptions_BOM'!D12</f>
        <v/>
      </c>
      <c r="C12" s="18">
        <f>'02_Assumptions_GPU'!D12*'03_Assumptions_BOM'!D12/100000</f>
        <v/>
      </c>
      <c r="D12" s="18">
        <f>'02_Assumptions_GPU'!E12*'03_Assumptions_BOM'!D12/100000</f>
        <v/>
      </c>
      <c r="E12" s="18">
        <f>'02_Assumptions_GPU'!F12*'03_Assumptions_BOM'!D12/100000</f>
        <v/>
      </c>
      <c r="F12" s="18">
        <f>'02_Assumptions_GPU'!G12*'03_Assumptions_BOM'!D12/100000</f>
        <v/>
      </c>
      <c r="G12" s="18">
        <f>'02_Assumptions_GPU'!H12*'03_Assumptions_BOM'!D12/100000</f>
        <v/>
      </c>
    </row>
    <row r="13">
      <c r="A13" s="7">
        <f>'03_Assumptions_BOM'!A13</f>
        <v/>
      </c>
      <c r="B13" s="8">
        <f>'03_Assumptions_BOM'!D13</f>
        <v/>
      </c>
      <c r="C13" s="18">
        <f>'02_Assumptions_GPU'!D13*'03_Assumptions_BOM'!D13/100000</f>
        <v/>
      </c>
      <c r="D13" s="18">
        <f>'02_Assumptions_GPU'!E13*'03_Assumptions_BOM'!D13/100000</f>
        <v/>
      </c>
      <c r="E13" s="18">
        <f>'02_Assumptions_GPU'!F13*'03_Assumptions_BOM'!D13/100000</f>
        <v/>
      </c>
      <c r="F13" s="18">
        <f>'02_Assumptions_GPU'!G13*'03_Assumptions_BOM'!D13/100000</f>
        <v/>
      </c>
      <c r="G13" s="18">
        <f>'02_Assumptions_GPU'!H13*'03_Assumptions_BOM'!D13/100000</f>
        <v/>
      </c>
    </row>
    <row r="14">
      <c r="A14" s="7">
        <f>'03_Assumptions_BOM'!A14</f>
        <v/>
      </c>
      <c r="B14" s="8">
        <f>'03_Assumptions_BOM'!D14</f>
        <v/>
      </c>
      <c r="C14" s="18">
        <f>'02_Assumptions_GPU'!D14*'03_Assumptions_BOM'!D14/100000</f>
        <v/>
      </c>
      <c r="D14" s="18">
        <f>'02_Assumptions_GPU'!E14*'03_Assumptions_BOM'!D14/100000</f>
        <v/>
      </c>
      <c r="E14" s="18">
        <f>'02_Assumptions_GPU'!F14*'03_Assumptions_BOM'!D14/100000</f>
        <v/>
      </c>
      <c r="F14" s="18">
        <f>'02_Assumptions_GPU'!G14*'03_Assumptions_BOM'!D14/100000</f>
        <v/>
      </c>
      <c r="G14" s="18">
        <f>'02_Assumptions_GPU'!H14*'03_Assumptions_BOM'!D14/100000</f>
        <v/>
      </c>
    </row>
    <row r="15">
      <c r="A15" s="7">
        <f>'03_Assumptions_BOM'!A15</f>
        <v/>
      </c>
      <c r="B15" s="8">
        <f>'03_Assumptions_BOM'!D15</f>
        <v/>
      </c>
      <c r="C15" s="18">
        <f>'02_Assumptions_GPU'!D15*'03_Assumptions_BOM'!D15/100000</f>
        <v/>
      </c>
      <c r="D15" s="18">
        <f>'02_Assumptions_GPU'!E15*'03_Assumptions_BOM'!D15/100000</f>
        <v/>
      </c>
      <c r="E15" s="18">
        <f>'02_Assumptions_GPU'!F15*'03_Assumptions_BOM'!D15/100000</f>
        <v/>
      </c>
      <c r="F15" s="18">
        <f>'02_Assumptions_GPU'!G15*'03_Assumptions_BOM'!D15/100000</f>
        <v/>
      </c>
      <c r="G15" s="18">
        <f>'02_Assumptions_GPU'!H15*'03_Assumptions_BOM'!D15/100000</f>
        <v/>
      </c>
    </row>
    <row r="16">
      <c r="A16" s="7">
        <f>'03_Assumptions_BOM'!A16</f>
        <v/>
      </c>
      <c r="B16" s="8">
        <f>'03_Assumptions_BOM'!D16</f>
        <v/>
      </c>
      <c r="C16" s="18">
        <f>'02_Assumptions_GPU'!D16*'03_Assumptions_BOM'!D16/100000</f>
        <v/>
      </c>
      <c r="D16" s="18">
        <f>'02_Assumptions_GPU'!E16*'03_Assumptions_BOM'!D16/100000</f>
        <v/>
      </c>
      <c r="E16" s="18">
        <f>'02_Assumptions_GPU'!F16*'03_Assumptions_BOM'!D16/100000</f>
        <v/>
      </c>
      <c r="F16" s="18">
        <f>'02_Assumptions_GPU'!G16*'03_Assumptions_BOM'!D16/100000</f>
        <v/>
      </c>
      <c r="G16" s="18">
        <f>'02_Assumptions_GPU'!H16*'03_Assumptions_BOM'!D16/100000</f>
        <v/>
      </c>
    </row>
    <row r="17">
      <c r="A17" s="7">
        <f>'03_Assumptions_BOM'!A17</f>
        <v/>
      </c>
      <c r="B17" s="8">
        <f>'03_Assumptions_BOM'!D17</f>
        <v/>
      </c>
      <c r="C17" s="18">
        <f>'02_Assumptions_GPU'!D17*'03_Assumptions_BOM'!D17/100000</f>
        <v/>
      </c>
      <c r="D17" s="18">
        <f>'02_Assumptions_GPU'!E17*'03_Assumptions_BOM'!D17/100000</f>
        <v/>
      </c>
      <c r="E17" s="18">
        <f>'02_Assumptions_GPU'!F17*'03_Assumptions_BOM'!D17/100000</f>
        <v/>
      </c>
      <c r="F17" s="18">
        <f>'02_Assumptions_GPU'!G17*'03_Assumptions_BOM'!D17/100000</f>
        <v/>
      </c>
      <c r="G17" s="18">
        <f>'02_Assumptions_GPU'!H17*'03_Assumptions_BOM'!D17/100000</f>
        <v/>
      </c>
    </row>
    <row r="18">
      <c r="A18" s="7">
        <f>'03_Assumptions_BOM'!A18</f>
        <v/>
      </c>
      <c r="B18" s="8">
        <f>'03_Assumptions_BOM'!D18</f>
        <v/>
      </c>
      <c r="C18" s="18">
        <f>'02_Assumptions_GPU'!D18*'03_Assumptions_BOM'!D18/100000</f>
        <v/>
      </c>
      <c r="D18" s="18">
        <f>'02_Assumptions_GPU'!E18*'03_Assumptions_BOM'!D18/100000</f>
        <v/>
      </c>
      <c r="E18" s="18">
        <f>'02_Assumptions_GPU'!F18*'03_Assumptions_BOM'!D18/100000</f>
        <v/>
      </c>
      <c r="F18" s="18">
        <f>'02_Assumptions_GPU'!G18*'03_Assumptions_BOM'!D18/100000</f>
        <v/>
      </c>
      <c r="G18" s="18">
        <f>'02_Assumptions_GPU'!H18*'03_Assumptions_BOM'!D18/100000</f>
        <v/>
      </c>
    </row>
    <row r="19">
      <c r="A19" s="17" t="inlineStr">
        <is>
          <t>AIDC合计 电感需求</t>
        </is>
      </c>
      <c r="B19" s="14" t="n"/>
      <c r="C19" s="19">
        <f>SUM(C5:C18)</f>
        <v/>
      </c>
      <c r="D19" s="19">
        <f>SUM(D5:D18)</f>
        <v/>
      </c>
      <c r="E19" s="19">
        <f>SUM(E5:E18)</f>
        <v/>
      </c>
      <c r="F19" s="19">
        <f>SUM(F5:F18)</f>
        <v/>
      </c>
      <c r="G19" s="19">
        <f>SUM(G5:G18)</f>
        <v/>
      </c>
    </row>
    <row r="20">
      <c r="A20" s="20" t="inlineStr">
        <is>
          <t>非AIDC电感需求</t>
        </is>
      </c>
      <c r="B20" s="21" t="n"/>
      <c r="C20" s="22" t="n">
        <v>22</v>
      </c>
      <c r="D20" s="22" t="n">
        <v>24</v>
      </c>
      <c r="E20" s="22" t="n">
        <v>26</v>
      </c>
      <c r="F20" s="22" t="n">
        <v>28</v>
      </c>
      <c r="G20" s="22" t="n">
        <v>30</v>
      </c>
    </row>
    <row r="21">
      <c r="A21" s="17" t="inlineStr">
        <is>
          <t>高端电感总需求</t>
        </is>
      </c>
      <c r="B21" s="14" t="n"/>
      <c r="C21" s="19">
        <f>C19+C20</f>
        <v/>
      </c>
      <c r="D21" s="19">
        <f>D19+D20</f>
        <v/>
      </c>
      <c r="E21" s="19">
        <f>E19+E20</f>
        <v/>
      </c>
      <c r="F21" s="19">
        <f>F19+F20</f>
        <v/>
      </c>
      <c r="G21" s="19">
        <f>G19+G20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0" t="inlineStr">
        <is>
          <t>薄膜电容需求矩阵（按平台×年，单位：百万颗）</t>
        </is>
      </c>
    </row>
    <row r="2">
      <c r="A2" s="11" t="inlineStr">
        <is>
          <t>需求 = 平台出货量(千) × 单机薄膜电容(颗) ÷ 1,000 = 百万颗</t>
        </is>
      </c>
    </row>
    <row r="4">
      <c r="A4" s="6" t="inlineStr">
        <is>
          <t>平台</t>
        </is>
      </c>
      <c r="B4" s="6" t="inlineStr">
        <is>
          <t>单机薄膜用量(颗)</t>
        </is>
      </c>
      <c r="C4" s="6" t="inlineStr">
        <is>
          <t>2024</t>
        </is>
      </c>
      <c r="D4" s="6" t="inlineStr">
        <is>
          <t>2025</t>
        </is>
      </c>
      <c r="E4" s="6" t="inlineStr">
        <is>
          <t>2026</t>
        </is>
      </c>
      <c r="F4" s="6" t="inlineStr">
        <is>
          <t>2027</t>
        </is>
      </c>
      <c r="G4" s="6" t="inlineStr">
        <is>
          <t>2028</t>
        </is>
      </c>
    </row>
    <row r="5">
      <c r="A5" s="7">
        <f>'03_Assumptions_BOM'!A5</f>
        <v/>
      </c>
      <c r="B5" s="8">
        <f>'03_Assumptions_BOM'!E5</f>
        <v/>
      </c>
      <c r="C5" s="23">
        <f>'02_Assumptions_GPU'!D5*'03_Assumptions_BOM'!E5/1000</f>
        <v/>
      </c>
      <c r="D5" s="23">
        <f>'02_Assumptions_GPU'!E5*'03_Assumptions_BOM'!E5/1000</f>
        <v/>
      </c>
      <c r="E5" s="23">
        <f>'02_Assumptions_GPU'!F5*'03_Assumptions_BOM'!E5/1000</f>
        <v/>
      </c>
      <c r="F5" s="23">
        <f>'02_Assumptions_GPU'!G5*'03_Assumptions_BOM'!E5/1000</f>
        <v/>
      </c>
      <c r="G5" s="23">
        <f>'02_Assumptions_GPU'!H5*'03_Assumptions_BOM'!E5/1000</f>
        <v/>
      </c>
    </row>
    <row r="6">
      <c r="A6" s="7">
        <f>'03_Assumptions_BOM'!A6</f>
        <v/>
      </c>
      <c r="B6" s="8">
        <f>'03_Assumptions_BOM'!E6</f>
        <v/>
      </c>
      <c r="C6" s="23">
        <f>'02_Assumptions_GPU'!D6*'03_Assumptions_BOM'!E6/1000</f>
        <v/>
      </c>
      <c r="D6" s="23">
        <f>'02_Assumptions_GPU'!E6*'03_Assumptions_BOM'!E6/1000</f>
        <v/>
      </c>
      <c r="E6" s="23">
        <f>'02_Assumptions_GPU'!F6*'03_Assumptions_BOM'!E6/1000</f>
        <v/>
      </c>
      <c r="F6" s="23">
        <f>'02_Assumptions_GPU'!G6*'03_Assumptions_BOM'!E6/1000</f>
        <v/>
      </c>
      <c r="G6" s="23">
        <f>'02_Assumptions_GPU'!H6*'03_Assumptions_BOM'!E6/1000</f>
        <v/>
      </c>
    </row>
    <row r="7">
      <c r="A7" s="7">
        <f>'03_Assumptions_BOM'!A7</f>
        <v/>
      </c>
      <c r="B7" s="8">
        <f>'03_Assumptions_BOM'!E7</f>
        <v/>
      </c>
      <c r="C7" s="23">
        <f>'02_Assumptions_GPU'!D7*'03_Assumptions_BOM'!E7/1000</f>
        <v/>
      </c>
      <c r="D7" s="23">
        <f>'02_Assumptions_GPU'!E7*'03_Assumptions_BOM'!E7/1000</f>
        <v/>
      </c>
      <c r="E7" s="23">
        <f>'02_Assumptions_GPU'!F7*'03_Assumptions_BOM'!E7/1000</f>
        <v/>
      </c>
      <c r="F7" s="23">
        <f>'02_Assumptions_GPU'!G7*'03_Assumptions_BOM'!E7/1000</f>
        <v/>
      </c>
      <c r="G7" s="23">
        <f>'02_Assumptions_GPU'!H7*'03_Assumptions_BOM'!E7/1000</f>
        <v/>
      </c>
    </row>
    <row r="8">
      <c r="A8" s="7">
        <f>'03_Assumptions_BOM'!A8</f>
        <v/>
      </c>
      <c r="B8" s="8">
        <f>'03_Assumptions_BOM'!E8</f>
        <v/>
      </c>
      <c r="C8" s="23">
        <f>'02_Assumptions_GPU'!D8*'03_Assumptions_BOM'!E8/1000</f>
        <v/>
      </c>
      <c r="D8" s="23">
        <f>'02_Assumptions_GPU'!E8*'03_Assumptions_BOM'!E8/1000</f>
        <v/>
      </c>
      <c r="E8" s="23">
        <f>'02_Assumptions_GPU'!F8*'03_Assumptions_BOM'!E8/1000</f>
        <v/>
      </c>
      <c r="F8" s="23">
        <f>'02_Assumptions_GPU'!G8*'03_Assumptions_BOM'!E8/1000</f>
        <v/>
      </c>
      <c r="G8" s="23">
        <f>'02_Assumptions_GPU'!H8*'03_Assumptions_BOM'!E8/1000</f>
        <v/>
      </c>
    </row>
    <row r="9">
      <c r="A9" s="7">
        <f>'03_Assumptions_BOM'!A9</f>
        <v/>
      </c>
      <c r="B9" s="8">
        <f>'03_Assumptions_BOM'!E9</f>
        <v/>
      </c>
      <c r="C9" s="23">
        <f>'02_Assumptions_GPU'!D9*'03_Assumptions_BOM'!E9/1000</f>
        <v/>
      </c>
      <c r="D9" s="23">
        <f>'02_Assumptions_GPU'!E9*'03_Assumptions_BOM'!E9/1000</f>
        <v/>
      </c>
      <c r="E9" s="23">
        <f>'02_Assumptions_GPU'!F9*'03_Assumptions_BOM'!E9/1000</f>
        <v/>
      </c>
      <c r="F9" s="23">
        <f>'02_Assumptions_GPU'!G9*'03_Assumptions_BOM'!E9/1000</f>
        <v/>
      </c>
      <c r="G9" s="23">
        <f>'02_Assumptions_GPU'!H9*'03_Assumptions_BOM'!E9/1000</f>
        <v/>
      </c>
    </row>
    <row r="10">
      <c r="A10" s="7">
        <f>'03_Assumptions_BOM'!A10</f>
        <v/>
      </c>
      <c r="B10" s="8">
        <f>'03_Assumptions_BOM'!E10</f>
        <v/>
      </c>
      <c r="C10" s="23">
        <f>'02_Assumptions_GPU'!D10*'03_Assumptions_BOM'!E10/1000</f>
        <v/>
      </c>
      <c r="D10" s="23">
        <f>'02_Assumptions_GPU'!E10*'03_Assumptions_BOM'!E10/1000</f>
        <v/>
      </c>
      <c r="E10" s="23">
        <f>'02_Assumptions_GPU'!F10*'03_Assumptions_BOM'!E10/1000</f>
        <v/>
      </c>
      <c r="F10" s="23">
        <f>'02_Assumptions_GPU'!G10*'03_Assumptions_BOM'!E10/1000</f>
        <v/>
      </c>
      <c r="G10" s="23">
        <f>'02_Assumptions_GPU'!H10*'03_Assumptions_BOM'!E10/1000</f>
        <v/>
      </c>
    </row>
    <row r="11">
      <c r="A11" s="7">
        <f>'03_Assumptions_BOM'!A11</f>
        <v/>
      </c>
      <c r="B11" s="8">
        <f>'03_Assumptions_BOM'!E11</f>
        <v/>
      </c>
      <c r="C11" s="23">
        <f>'02_Assumptions_GPU'!D11*'03_Assumptions_BOM'!E11/1000</f>
        <v/>
      </c>
      <c r="D11" s="23">
        <f>'02_Assumptions_GPU'!E11*'03_Assumptions_BOM'!E11/1000</f>
        <v/>
      </c>
      <c r="E11" s="23">
        <f>'02_Assumptions_GPU'!F11*'03_Assumptions_BOM'!E11/1000</f>
        <v/>
      </c>
      <c r="F11" s="23">
        <f>'02_Assumptions_GPU'!G11*'03_Assumptions_BOM'!E11/1000</f>
        <v/>
      </c>
      <c r="G11" s="23">
        <f>'02_Assumptions_GPU'!H11*'03_Assumptions_BOM'!E11/1000</f>
        <v/>
      </c>
    </row>
    <row r="12">
      <c r="A12" s="7">
        <f>'03_Assumptions_BOM'!A12</f>
        <v/>
      </c>
      <c r="B12" s="8">
        <f>'03_Assumptions_BOM'!E12</f>
        <v/>
      </c>
      <c r="C12" s="23">
        <f>'02_Assumptions_GPU'!D12*'03_Assumptions_BOM'!E12/1000</f>
        <v/>
      </c>
      <c r="D12" s="23">
        <f>'02_Assumptions_GPU'!E12*'03_Assumptions_BOM'!E12/1000</f>
        <v/>
      </c>
      <c r="E12" s="23">
        <f>'02_Assumptions_GPU'!F12*'03_Assumptions_BOM'!E12/1000</f>
        <v/>
      </c>
      <c r="F12" s="23">
        <f>'02_Assumptions_GPU'!G12*'03_Assumptions_BOM'!E12/1000</f>
        <v/>
      </c>
      <c r="G12" s="23">
        <f>'02_Assumptions_GPU'!H12*'03_Assumptions_BOM'!E12/1000</f>
        <v/>
      </c>
    </row>
    <row r="13">
      <c r="A13" s="7">
        <f>'03_Assumptions_BOM'!A13</f>
        <v/>
      </c>
      <c r="B13" s="8">
        <f>'03_Assumptions_BOM'!E13</f>
        <v/>
      </c>
      <c r="C13" s="23">
        <f>'02_Assumptions_GPU'!D13*'03_Assumptions_BOM'!E13/1000</f>
        <v/>
      </c>
      <c r="D13" s="23">
        <f>'02_Assumptions_GPU'!E13*'03_Assumptions_BOM'!E13/1000</f>
        <v/>
      </c>
      <c r="E13" s="23">
        <f>'02_Assumptions_GPU'!F13*'03_Assumptions_BOM'!E13/1000</f>
        <v/>
      </c>
      <c r="F13" s="23">
        <f>'02_Assumptions_GPU'!G13*'03_Assumptions_BOM'!E13/1000</f>
        <v/>
      </c>
      <c r="G13" s="23">
        <f>'02_Assumptions_GPU'!H13*'03_Assumptions_BOM'!E13/1000</f>
        <v/>
      </c>
    </row>
    <row r="14">
      <c r="A14" s="7">
        <f>'03_Assumptions_BOM'!A14</f>
        <v/>
      </c>
      <c r="B14" s="8">
        <f>'03_Assumptions_BOM'!E14</f>
        <v/>
      </c>
      <c r="C14" s="23">
        <f>'02_Assumptions_GPU'!D14*'03_Assumptions_BOM'!E14/1000</f>
        <v/>
      </c>
      <c r="D14" s="23">
        <f>'02_Assumptions_GPU'!E14*'03_Assumptions_BOM'!E14/1000</f>
        <v/>
      </c>
      <c r="E14" s="23">
        <f>'02_Assumptions_GPU'!F14*'03_Assumptions_BOM'!E14/1000</f>
        <v/>
      </c>
      <c r="F14" s="23">
        <f>'02_Assumptions_GPU'!G14*'03_Assumptions_BOM'!E14/1000</f>
        <v/>
      </c>
      <c r="G14" s="23">
        <f>'02_Assumptions_GPU'!H14*'03_Assumptions_BOM'!E14/1000</f>
        <v/>
      </c>
    </row>
    <row r="15">
      <c r="A15" s="7">
        <f>'03_Assumptions_BOM'!A15</f>
        <v/>
      </c>
      <c r="B15" s="8">
        <f>'03_Assumptions_BOM'!E15</f>
        <v/>
      </c>
      <c r="C15" s="23">
        <f>'02_Assumptions_GPU'!D15*'03_Assumptions_BOM'!E15/1000</f>
        <v/>
      </c>
      <c r="D15" s="23">
        <f>'02_Assumptions_GPU'!E15*'03_Assumptions_BOM'!E15/1000</f>
        <v/>
      </c>
      <c r="E15" s="23">
        <f>'02_Assumptions_GPU'!F15*'03_Assumptions_BOM'!E15/1000</f>
        <v/>
      </c>
      <c r="F15" s="23">
        <f>'02_Assumptions_GPU'!G15*'03_Assumptions_BOM'!E15/1000</f>
        <v/>
      </c>
      <c r="G15" s="23">
        <f>'02_Assumptions_GPU'!H15*'03_Assumptions_BOM'!E15/1000</f>
        <v/>
      </c>
    </row>
    <row r="16">
      <c r="A16" s="7">
        <f>'03_Assumptions_BOM'!A16</f>
        <v/>
      </c>
      <c r="B16" s="8">
        <f>'03_Assumptions_BOM'!E16</f>
        <v/>
      </c>
      <c r="C16" s="23">
        <f>'02_Assumptions_GPU'!D16*'03_Assumptions_BOM'!E16/1000</f>
        <v/>
      </c>
      <c r="D16" s="23">
        <f>'02_Assumptions_GPU'!E16*'03_Assumptions_BOM'!E16/1000</f>
        <v/>
      </c>
      <c r="E16" s="23">
        <f>'02_Assumptions_GPU'!F16*'03_Assumptions_BOM'!E16/1000</f>
        <v/>
      </c>
      <c r="F16" s="23">
        <f>'02_Assumptions_GPU'!G16*'03_Assumptions_BOM'!E16/1000</f>
        <v/>
      </c>
      <c r="G16" s="23">
        <f>'02_Assumptions_GPU'!H16*'03_Assumptions_BOM'!E16/1000</f>
        <v/>
      </c>
    </row>
    <row r="17">
      <c r="A17" s="7">
        <f>'03_Assumptions_BOM'!A17</f>
        <v/>
      </c>
      <c r="B17" s="8">
        <f>'03_Assumptions_BOM'!E17</f>
        <v/>
      </c>
      <c r="C17" s="23">
        <f>'02_Assumptions_GPU'!D17*'03_Assumptions_BOM'!E17/1000</f>
        <v/>
      </c>
      <c r="D17" s="23">
        <f>'02_Assumptions_GPU'!E17*'03_Assumptions_BOM'!E17/1000</f>
        <v/>
      </c>
      <c r="E17" s="23">
        <f>'02_Assumptions_GPU'!F17*'03_Assumptions_BOM'!E17/1000</f>
        <v/>
      </c>
      <c r="F17" s="23">
        <f>'02_Assumptions_GPU'!G17*'03_Assumptions_BOM'!E17/1000</f>
        <v/>
      </c>
      <c r="G17" s="23">
        <f>'02_Assumptions_GPU'!H17*'03_Assumptions_BOM'!E17/1000</f>
        <v/>
      </c>
    </row>
    <row r="18">
      <c r="A18" s="7">
        <f>'03_Assumptions_BOM'!A18</f>
        <v/>
      </c>
      <c r="B18" s="8">
        <f>'03_Assumptions_BOM'!E18</f>
        <v/>
      </c>
      <c r="C18" s="23">
        <f>'02_Assumptions_GPU'!D18*'03_Assumptions_BOM'!E18/1000</f>
        <v/>
      </c>
      <c r="D18" s="23">
        <f>'02_Assumptions_GPU'!E18*'03_Assumptions_BOM'!E18/1000</f>
        <v/>
      </c>
      <c r="E18" s="23">
        <f>'02_Assumptions_GPU'!F18*'03_Assumptions_BOM'!E18/1000</f>
        <v/>
      </c>
      <c r="F18" s="23">
        <f>'02_Assumptions_GPU'!G18*'03_Assumptions_BOM'!E18/1000</f>
        <v/>
      </c>
      <c r="G18" s="23">
        <f>'02_Assumptions_GPU'!H18*'03_Assumptions_BOM'!E18/1000</f>
        <v/>
      </c>
    </row>
    <row r="19">
      <c r="A19" s="17" t="inlineStr">
        <is>
          <t>AIDC合计 薄膜需求</t>
        </is>
      </c>
      <c r="B19" s="14" t="n"/>
      <c r="C19" s="24">
        <f>SUM(C5:C18)</f>
        <v/>
      </c>
      <c r="D19" s="24">
        <f>SUM(D5:D18)</f>
        <v/>
      </c>
      <c r="E19" s="24">
        <f>SUM(E5:E18)</f>
        <v/>
      </c>
      <c r="F19" s="24">
        <f>SUM(F5:F18)</f>
        <v/>
      </c>
      <c r="G19" s="24">
        <f>SUM(G5:G18)</f>
        <v/>
      </c>
    </row>
    <row r="20">
      <c r="A20" s="20" t="inlineStr">
        <is>
          <t>HVDC基础设施+UPS+其他薄膜需求</t>
        </is>
      </c>
      <c r="B20" s="21" t="n"/>
      <c r="C20" s="25" t="n">
        <v>180</v>
      </c>
      <c r="D20" s="25" t="n">
        <v>190</v>
      </c>
      <c r="E20" s="25" t="n">
        <v>210</v>
      </c>
      <c r="F20" s="25" t="n">
        <v>230</v>
      </c>
      <c r="G20" s="25" t="n">
        <v>260</v>
      </c>
    </row>
    <row r="21">
      <c r="A21" s="17" t="inlineStr">
        <is>
          <t>HVDC薄膜总需求</t>
        </is>
      </c>
      <c r="B21" s="14" t="n"/>
      <c r="C21" s="24">
        <f>C19+C20</f>
        <v/>
      </c>
      <c r="D21" s="24">
        <f>D19+D20</f>
        <v/>
      </c>
      <c r="E21" s="24">
        <f>E19+E20</f>
        <v/>
      </c>
      <c r="F21" s="24">
        <f>F19+F20</f>
        <v/>
      </c>
      <c r="G21" s="24">
        <f>G19+G20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0" t="inlineStr">
        <is>
          <t>其他被动元件需求：钽聚合物 / 铝电解 / 超级电容 / 片式电阻</t>
        </is>
      </c>
    </row>
    <row r="2">
      <c r="A2" s="11" t="inlineStr">
        <is>
          <t>单位：钽=百万颗，铝电解=百万颗，超容=千颗，电阻=十亿颗</t>
        </is>
      </c>
    </row>
    <row r="4">
      <c r="A4" s="26" t="inlineStr">
        <is>
          <t>[A] 钽聚合物电容（百万颗）</t>
        </is>
      </c>
    </row>
    <row r="5">
      <c r="A5" s="6" t="inlineStr">
        <is>
          <t>平台</t>
        </is>
      </c>
      <c r="B5" s="6" t="inlineStr">
        <is>
          <t>单机用量</t>
        </is>
      </c>
      <c r="C5" s="6" t="inlineStr">
        <is>
          <t>2024</t>
        </is>
      </c>
      <c r="D5" s="6" t="inlineStr">
        <is>
          <t>2025</t>
        </is>
      </c>
      <c r="E5" s="6" t="inlineStr">
        <is>
          <t>2026</t>
        </is>
      </c>
      <c r="F5" s="6" t="inlineStr">
        <is>
          <t>2027</t>
        </is>
      </c>
      <c r="G5" s="6" t="inlineStr">
        <is>
          <t>2028</t>
        </is>
      </c>
    </row>
    <row r="6">
      <c r="A6" s="7">
        <f>'03_Assumptions_BOM'!A5</f>
        <v/>
      </c>
      <c r="B6" s="8">
        <f>'03_Assumptions_BOM'!F5</f>
        <v/>
      </c>
      <c r="C6" s="23">
        <f>'02_Assumptions_GPU'!D5*'03_Assumptions_BOM'!F5/1000</f>
        <v/>
      </c>
      <c r="D6" s="23">
        <f>'02_Assumptions_GPU'!E5*'03_Assumptions_BOM'!F5/1000</f>
        <v/>
      </c>
      <c r="E6" s="23">
        <f>'02_Assumptions_GPU'!F5*'03_Assumptions_BOM'!F5/1000</f>
        <v/>
      </c>
      <c r="F6" s="23">
        <f>'02_Assumptions_GPU'!G5*'03_Assumptions_BOM'!F5/1000</f>
        <v/>
      </c>
      <c r="G6" s="23">
        <f>'02_Assumptions_GPU'!H5*'03_Assumptions_BOM'!F5/1000</f>
        <v/>
      </c>
    </row>
    <row r="7">
      <c r="A7" s="7">
        <f>'03_Assumptions_BOM'!A6</f>
        <v/>
      </c>
      <c r="B7" s="8">
        <f>'03_Assumptions_BOM'!F6</f>
        <v/>
      </c>
      <c r="C7" s="23">
        <f>'02_Assumptions_GPU'!D6*'03_Assumptions_BOM'!F6/1000</f>
        <v/>
      </c>
      <c r="D7" s="23">
        <f>'02_Assumptions_GPU'!E6*'03_Assumptions_BOM'!F6/1000</f>
        <v/>
      </c>
      <c r="E7" s="23">
        <f>'02_Assumptions_GPU'!F6*'03_Assumptions_BOM'!F6/1000</f>
        <v/>
      </c>
      <c r="F7" s="23">
        <f>'02_Assumptions_GPU'!G6*'03_Assumptions_BOM'!F6/1000</f>
        <v/>
      </c>
      <c r="G7" s="23">
        <f>'02_Assumptions_GPU'!H6*'03_Assumptions_BOM'!F6/1000</f>
        <v/>
      </c>
    </row>
    <row r="8">
      <c r="A8" s="7">
        <f>'03_Assumptions_BOM'!A7</f>
        <v/>
      </c>
      <c r="B8" s="8">
        <f>'03_Assumptions_BOM'!F7</f>
        <v/>
      </c>
      <c r="C8" s="23">
        <f>'02_Assumptions_GPU'!D7*'03_Assumptions_BOM'!F7/1000</f>
        <v/>
      </c>
      <c r="D8" s="23">
        <f>'02_Assumptions_GPU'!E7*'03_Assumptions_BOM'!F7/1000</f>
        <v/>
      </c>
      <c r="E8" s="23">
        <f>'02_Assumptions_GPU'!F7*'03_Assumptions_BOM'!F7/1000</f>
        <v/>
      </c>
      <c r="F8" s="23">
        <f>'02_Assumptions_GPU'!G7*'03_Assumptions_BOM'!F7/1000</f>
        <v/>
      </c>
      <c r="G8" s="23">
        <f>'02_Assumptions_GPU'!H7*'03_Assumptions_BOM'!F7/1000</f>
        <v/>
      </c>
    </row>
    <row r="9">
      <c r="A9" s="7">
        <f>'03_Assumptions_BOM'!A8</f>
        <v/>
      </c>
      <c r="B9" s="8">
        <f>'03_Assumptions_BOM'!F8</f>
        <v/>
      </c>
      <c r="C9" s="23">
        <f>'02_Assumptions_GPU'!D8*'03_Assumptions_BOM'!F8/1000</f>
        <v/>
      </c>
      <c r="D9" s="23">
        <f>'02_Assumptions_GPU'!E8*'03_Assumptions_BOM'!F8/1000</f>
        <v/>
      </c>
      <c r="E9" s="23">
        <f>'02_Assumptions_GPU'!F8*'03_Assumptions_BOM'!F8/1000</f>
        <v/>
      </c>
      <c r="F9" s="23">
        <f>'02_Assumptions_GPU'!G8*'03_Assumptions_BOM'!F8/1000</f>
        <v/>
      </c>
      <c r="G9" s="23">
        <f>'02_Assumptions_GPU'!H8*'03_Assumptions_BOM'!F8/1000</f>
        <v/>
      </c>
    </row>
    <row r="10">
      <c r="A10" s="7">
        <f>'03_Assumptions_BOM'!A9</f>
        <v/>
      </c>
      <c r="B10" s="8">
        <f>'03_Assumptions_BOM'!F9</f>
        <v/>
      </c>
      <c r="C10" s="23">
        <f>'02_Assumptions_GPU'!D9*'03_Assumptions_BOM'!F9/1000</f>
        <v/>
      </c>
      <c r="D10" s="23">
        <f>'02_Assumptions_GPU'!E9*'03_Assumptions_BOM'!F9/1000</f>
        <v/>
      </c>
      <c r="E10" s="23">
        <f>'02_Assumptions_GPU'!F9*'03_Assumptions_BOM'!F9/1000</f>
        <v/>
      </c>
      <c r="F10" s="23">
        <f>'02_Assumptions_GPU'!G9*'03_Assumptions_BOM'!F9/1000</f>
        <v/>
      </c>
      <c r="G10" s="23">
        <f>'02_Assumptions_GPU'!H9*'03_Assumptions_BOM'!F9/1000</f>
        <v/>
      </c>
    </row>
    <row r="11">
      <c r="A11" s="7">
        <f>'03_Assumptions_BOM'!A10</f>
        <v/>
      </c>
      <c r="B11" s="8">
        <f>'03_Assumptions_BOM'!F10</f>
        <v/>
      </c>
      <c r="C11" s="23">
        <f>'02_Assumptions_GPU'!D10*'03_Assumptions_BOM'!F10/1000</f>
        <v/>
      </c>
      <c r="D11" s="23">
        <f>'02_Assumptions_GPU'!E10*'03_Assumptions_BOM'!F10/1000</f>
        <v/>
      </c>
      <c r="E11" s="23">
        <f>'02_Assumptions_GPU'!F10*'03_Assumptions_BOM'!F10/1000</f>
        <v/>
      </c>
      <c r="F11" s="23">
        <f>'02_Assumptions_GPU'!G10*'03_Assumptions_BOM'!F10/1000</f>
        <v/>
      </c>
      <c r="G11" s="23">
        <f>'02_Assumptions_GPU'!H10*'03_Assumptions_BOM'!F10/1000</f>
        <v/>
      </c>
    </row>
    <row r="12">
      <c r="A12" s="7">
        <f>'03_Assumptions_BOM'!A11</f>
        <v/>
      </c>
      <c r="B12" s="8">
        <f>'03_Assumptions_BOM'!F11</f>
        <v/>
      </c>
      <c r="C12" s="23">
        <f>'02_Assumptions_GPU'!D11*'03_Assumptions_BOM'!F11/1000</f>
        <v/>
      </c>
      <c r="D12" s="23">
        <f>'02_Assumptions_GPU'!E11*'03_Assumptions_BOM'!F11/1000</f>
        <v/>
      </c>
      <c r="E12" s="23">
        <f>'02_Assumptions_GPU'!F11*'03_Assumptions_BOM'!F11/1000</f>
        <v/>
      </c>
      <c r="F12" s="23">
        <f>'02_Assumptions_GPU'!G11*'03_Assumptions_BOM'!F11/1000</f>
        <v/>
      </c>
      <c r="G12" s="23">
        <f>'02_Assumptions_GPU'!H11*'03_Assumptions_BOM'!F11/1000</f>
        <v/>
      </c>
    </row>
    <row r="13">
      <c r="A13" s="7">
        <f>'03_Assumptions_BOM'!A12</f>
        <v/>
      </c>
      <c r="B13" s="8">
        <f>'03_Assumptions_BOM'!F12</f>
        <v/>
      </c>
      <c r="C13" s="23">
        <f>'02_Assumptions_GPU'!D12*'03_Assumptions_BOM'!F12/1000</f>
        <v/>
      </c>
      <c r="D13" s="23">
        <f>'02_Assumptions_GPU'!E12*'03_Assumptions_BOM'!F12/1000</f>
        <v/>
      </c>
      <c r="E13" s="23">
        <f>'02_Assumptions_GPU'!F12*'03_Assumptions_BOM'!F12/1000</f>
        <v/>
      </c>
      <c r="F13" s="23">
        <f>'02_Assumptions_GPU'!G12*'03_Assumptions_BOM'!F12/1000</f>
        <v/>
      </c>
      <c r="G13" s="23">
        <f>'02_Assumptions_GPU'!H12*'03_Assumptions_BOM'!F12/1000</f>
        <v/>
      </c>
    </row>
    <row r="14">
      <c r="A14" s="7">
        <f>'03_Assumptions_BOM'!A13</f>
        <v/>
      </c>
      <c r="B14" s="8">
        <f>'03_Assumptions_BOM'!F13</f>
        <v/>
      </c>
      <c r="C14" s="23">
        <f>'02_Assumptions_GPU'!D13*'03_Assumptions_BOM'!F13/1000</f>
        <v/>
      </c>
      <c r="D14" s="23">
        <f>'02_Assumptions_GPU'!E13*'03_Assumptions_BOM'!F13/1000</f>
        <v/>
      </c>
      <c r="E14" s="23">
        <f>'02_Assumptions_GPU'!F13*'03_Assumptions_BOM'!F13/1000</f>
        <v/>
      </c>
      <c r="F14" s="23">
        <f>'02_Assumptions_GPU'!G13*'03_Assumptions_BOM'!F13/1000</f>
        <v/>
      </c>
      <c r="G14" s="23">
        <f>'02_Assumptions_GPU'!H13*'03_Assumptions_BOM'!F13/1000</f>
        <v/>
      </c>
    </row>
    <row r="15">
      <c r="A15" s="7">
        <f>'03_Assumptions_BOM'!A14</f>
        <v/>
      </c>
      <c r="B15" s="8">
        <f>'03_Assumptions_BOM'!F14</f>
        <v/>
      </c>
      <c r="C15" s="23">
        <f>'02_Assumptions_GPU'!D14*'03_Assumptions_BOM'!F14/1000</f>
        <v/>
      </c>
      <c r="D15" s="23">
        <f>'02_Assumptions_GPU'!E14*'03_Assumptions_BOM'!F14/1000</f>
        <v/>
      </c>
      <c r="E15" s="23">
        <f>'02_Assumptions_GPU'!F14*'03_Assumptions_BOM'!F14/1000</f>
        <v/>
      </c>
      <c r="F15" s="23">
        <f>'02_Assumptions_GPU'!G14*'03_Assumptions_BOM'!F14/1000</f>
        <v/>
      </c>
      <c r="G15" s="23">
        <f>'02_Assumptions_GPU'!H14*'03_Assumptions_BOM'!F14/1000</f>
        <v/>
      </c>
    </row>
    <row r="16">
      <c r="A16" s="7">
        <f>'03_Assumptions_BOM'!A15</f>
        <v/>
      </c>
      <c r="B16" s="8">
        <f>'03_Assumptions_BOM'!F15</f>
        <v/>
      </c>
      <c r="C16" s="23">
        <f>'02_Assumptions_GPU'!D15*'03_Assumptions_BOM'!F15/1000</f>
        <v/>
      </c>
      <c r="D16" s="23">
        <f>'02_Assumptions_GPU'!E15*'03_Assumptions_BOM'!F15/1000</f>
        <v/>
      </c>
      <c r="E16" s="23">
        <f>'02_Assumptions_GPU'!F15*'03_Assumptions_BOM'!F15/1000</f>
        <v/>
      </c>
      <c r="F16" s="23">
        <f>'02_Assumptions_GPU'!G15*'03_Assumptions_BOM'!F15/1000</f>
        <v/>
      </c>
      <c r="G16" s="23">
        <f>'02_Assumptions_GPU'!H15*'03_Assumptions_BOM'!F15/1000</f>
        <v/>
      </c>
    </row>
    <row r="17">
      <c r="A17" s="7">
        <f>'03_Assumptions_BOM'!A16</f>
        <v/>
      </c>
      <c r="B17" s="8">
        <f>'03_Assumptions_BOM'!F16</f>
        <v/>
      </c>
      <c r="C17" s="23">
        <f>'02_Assumptions_GPU'!D16*'03_Assumptions_BOM'!F16/1000</f>
        <v/>
      </c>
      <c r="D17" s="23">
        <f>'02_Assumptions_GPU'!E16*'03_Assumptions_BOM'!F16/1000</f>
        <v/>
      </c>
      <c r="E17" s="23">
        <f>'02_Assumptions_GPU'!F16*'03_Assumptions_BOM'!F16/1000</f>
        <v/>
      </c>
      <c r="F17" s="23">
        <f>'02_Assumptions_GPU'!G16*'03_Assumptions_BOM'!F16/1000</f>
        <v/>
      </c>
      <c r="G17" s="23">
        <f>'02_Assumptions_GPU'!H16*'03_Assumptions_BOM'!F16/1000</f>
        <v/>
      </c>
    </row>
    <row r="18">
      <c r="A18" s="7">
        <f>'03_Assumptions_BOM'!A17</f>
        <v/>
      </c>
      <c r="B18" s="8">
        <f>'03_Assumptions_BOM'!F17</f>
        <v/>
      </c>
      <c r="C18" s="23">
        <f>'02_Assumptions_GPU'!D17*'03_Assumptions_BOM'!F17/1000</f>
        <v/>
      </c>
      <c r="D18" s="23">
        <f>'02_Assumptions_GPU'!E17*'03_Assumptions_BOM'!F17/1000</f>
        <v/>
      </c>
      <c r="E18" s="23">
        <f>'02_Assumptions_GPU'!F17*'03_Assumptions_BOM'!F17/1000</f>
        <v/>
      </c>
      <c r="F18" s="23">
        <f>'02_Assumptions_GPU'!G17*'03_Assumptions_BOM'!F17/1000</f>
        <v/>
      </c>
      <c r="G18" s="23">
        <f>'02_Assumptions_GPU'!H17*'03_Assumptions_BOM'!F17/1000</f>
        <v/>
      </c>
    </row>
    <row r="19">
      <c r="A19" s="7">
        <f>'03_Assumptions_BOM'!A18</f>
        <v/>
      </c>
      <c r="B19" s="8">
        <f>'03_Assumptions_BOM'!F18</f>
        <v/>
      </c>
      <c r="C19" s="23">
        <f>'02_Assumptions_GPU'!D18*'03_Assumptions_BOM'!F18/1000</f>
        <v/>
      </c>
      <c r="D19" s="23">
        <f>'02_Assumptions_GPU'!E18*'03_Assumptions_BOM'!F18/1000</f>
        <v/>
      </c>
      <c r="E19" s="23">
        <f>'02_Assumptions_GPU'!F18*'03_Assumptions_BOM'!F18/1000</f>
        <v/>
      </c>
      <c r="F19" s="23">
        <f>'02_Assumptions_GPU'!G18*'03_Assumptions_BOM'!F18/1000</f>
        <v/>
      </c>
      <c r="G19" s="23">
        <f>'02_Assumptions_GPU'!H18*'03_Assumptions_BOM'!F18/1000</f>
        <v/>
      </c>
    </row>
    <row r="20">
      <c r="A20" s="17" t="inlineStr">
        <is>
          <t>AIDC小计</t>
        </is>
      </c>
      <c r="B20" s="14" t="n"/>
      <c r="C20" s="24">
        <f>SUM(C6:C19)</f>
        <v/>
      </c>
      <c r="D20" s="24">
        <f>SUM(D6:D19)</f>
        <v/>
      </c>
      <c r="E20" s="24">
        <f>SUM(E6:E19)</f>
        <v/>
      </c>
      <c r="F20" s="24">
        <f>SUM(F6:F19)</f>
        <v/>
      </c>
      <c r="G20" s="24">
        <f>SUM(G6:G19)</f>
        <v/>
      </c>
    </row>
    <row r="22">
      <c r="A22" s="26" t="inlineStr">
        <is>
          <t>[B] 铝电解电容（百万颗）</t>
        </is>
      </c>
    </row>
    <row r="23">
      <c r="A23" s="6" t="inlineStr">
        <is>
          <t>平台</t>
        </is>
      </c>
      <c r="B23" s="6" t="inlineStr">
        <is>
          <t>单机用量</t>
        </is>
      </c>
      <c r="C23" s="6" t="inlineStr">
        <is>
          <t>2024</t>
        </is>
      </c>
      <c r="D23" s="6" t="inlineStr">
        <is>
          <t>2025</t>
        </is>
      </c>
      <c r="E23" s="6" t="inlineStr">
        <is>
          <t>2026</t>
        </is>
      </c>
      <c r="F23" s="6" t="inlineStr">
        <is>
          <t>2027</t>
        </is>
      </c>
      <c r="G23" s="6" t="inlineStr">
        <is>
          <t>2028</t>
        </is>
      </c>
    </row>
    <row r="24">
      <c r="A24" s="7">
        <f>'03_Assumptions_BOM'!A5</f>
        <v/>
      </c>
      <c r="B24" s="8">
        <f>'03_Assumptions_BOM'!G5</f>
        <v/>
      </c>
      <c r="C24" s="23">
        <f>'02_Assumptions_GPU'!D5*'03_Assumptions_BOM'!G5/1000</f>
        <v/>
      </c>
      <c r="D24" s="23">
        <f>'02_Assumptions_GPU'!E5*'03_Assumptions_BOM'!G5/1000</f>
        <v/>
      </c>
      <c r="E24" s="23">
        <f>'02_Assumptions_GPU'!F5*'03_Assumptions_BOM'!G5/1000</f>
        <v/>
      </c>
      <c r="F24" s="23">
        <f>'02_Assumptions_GPU'!G5*'03_Assumptions_BOM'!G5/1000</f>
        <v/>
      </c>
      <c r="G24" s="23">
        <f>'02_Assumptions_GPU'!H5*'03_Assumptions_BOM'!G5/1000</f>
        <v/>
      </c>
    </row>
    <row r="25">
      <c r="A25" s="7">
        <f>'03_Assumptions_BOM'!A6</f>
        <v/>
      </c>
      <c r="B25" s="8">
        <f>'03_Assumptions_BOM'!G6</f>
        <v/>
      </c>
      <c r="C25" s="23">
        <f>'02_Assumptions_GPU'!D6*'03_Assumptions_BOM'!G6/1000</f>
        <v/>
      </c>
      <c r="D25" s="23">
        <f>'02_Assumptions_GPU'!E6*'03_Assumptions_BOM'!G6/1000</f>
        <v/>
      </c>
      <c r="E25" s="23">
        <f>'02_Assumptions_GPU'!F6*'03_Assumptions_BOM'!G6/1000</f>
        <v/>
      </c>
      <c r="F25" s="23">
        <f>'02_Assumptions_GPU'!G6*'03_Assumptions_BOM'!G6/1000</f>
        <v/>
      </c>
      <c r="G25" s="23">
        <f>'02_Assumptions_GPU'!H6*'03_Assumptions_BOM'!G6/1000</f>
        <v/>
      </c>
    </row>
    <row r="26">
      <c r="A26" s="7">
        <f>'03_Assumptions_BOM'!A7</f>
        <v/>
      </c>
      <c r="B26" s="8">
        <f>'03_Assumptions_BOM'!G7</f>
        <v/>
      </c>
      <c r="C26" s="23">
        <f>'02_Assumptions_GPU'!D7*'03_Assumptions_BOM'!G7/1000</f>
        <v/>
      </c>
      <c r="D26" s="23">
        <f>'02_Assumptions_GPU'!E7*'03_Assumptions_BOM'!G7/1000</f>
        <v/>
      </c>
      <c r="E26" s="23">
        <f>'02_Assumptions_GPU'!F7*'03_Assumptions_BOM'!G7/1000</f>
        <v/>
      </c>
      <c r="F26" s="23">
        <f>'02_Assumptions_GPU'!G7*'03_Assumptions_BOM'!G7/1000</f>
        <v/>
      </c>
      <c r="G26" s="23">
        <f>'02_Assumptions_GPU'!H7*'03_Assumptions_BOM'!G7/1000</f>
        <v/>
      </c>
    </row>
    <row r="27">
      <c r="A27" s="7">
        <f>'03_Assumptions_BOM'!A8</f>
        <v/>
      </c>
      <c r="B27" s="8">
        <f>'03_Assumptions_BOM'!G8</f>
        <v/>
      </c>
      <c r="C27" s="23">
        <f>'02_Assumptions_GPU'!D8*'03_Assumptions_BOM'!G8/1000</f>
        <v/>
      </c>
      <c r="D27" s="23">
        <f>'02_Assumptions_GPU'!E8*'03_Assumptions_BOM'!G8/1000</f>
        <v/>
      </c>
      <c r="E27" s="23">
        <f>'02_Assumptions_GPU'!F8*'03_Assumptions_BOM'!G8/1000</f>
        <v/>
      </c>
      <c r="F27" s="23">
        <f>'02_Assumptions_GPU'!G8*'03_Assumptions_BOM'!G8/1000</f>
        <v/>
      </c>
      <c r="G27" s="23">
        <f>'02_Assumptions_GPU'!H8*'03_Assumptions_BOM'!G8/1000</f>
        <v/>
      </c>
    </row>
    <row r="28">
      <c r="A28" s="7">
        <f>'03_Assumptions_BOM'!A9</f>
        <v/>
      </c>
      <c r="B28" s="8">
        <f>'03_Assumptions_BOM'!G9</f>
        <v/>
      </c>
      <c r="C28" s="23">
        <f>'02_Assumptions_GPU'!D9*'03_Assumptions_BOM'!G9/1000</f>
        <v/>
      </c>
      <c r="D28" s="23">
        <f>'02_Assumptions_GPU'!E9*'03_Assumptions_BOM'!G9/1000</f>
        <v/>
      </c>
      <c r="E28" s="23">
        <f>'02_Assumptions_GPU'!F9*'03_Assumptions_BOM'!G9/1000</f>
        <v/>
      </c>
      <c r="F28" s="23">
        <f>'02_Assumptions_GPU'!G9*'03_Assumptions_BOM'!G9/1000</f>
        <v/>
      </c>
      <c r="G28" s="23">
        <f>'02_Assumptions_GPU'!H9*'03_Assumptions_BOM'!G9/1000</f>
        <v/>
      </c>
    </row>
    <row r="29">
      <c r="A29" s="7">
        <f>'03_Assumptions_BOM'!A10</f>
        <v/>
      </c>
      <c r="B29" s="8">
        <f>'03_Assumptions_BOM'!G10</f>
        <v/>
      </c>
      <c r="C29" s="23">
        <f>'02_Assumptions_GPU'!D10*'03_Assumptions_BOM'!G10/1000</f>
        <v/>
      </c>
      <c r="D29" s="23">
        <f>'02_Assumptions_GPU'!E10*'03_Assumptions_BOM'!G10/1000</f>
        <v/>
      </c>
      <c r="E29" s="23">
        <f>'02_Assumptions_GPU'!F10*'03_Assumptions_BOM'!G10/1000</f>
        <v/>
      </c>
      <c r="F29" s="23">
        <f>'02_Assumptions_GPU'!G10*'03_Assumptions_BOM'!G10/1000</f>
        <v/>
      </c>
      <c r="G29" s="23">
        <f>'02_Assumptions_GPU'!H10*'03_Assumptions_BOM'!G10/1000</f>
        <v/>
      </c>
    </row>
    <row r="30">
      <c r="A30" s="7">
        <f>'03_Assumptions_BOM'!A11</f>
        <v/>
      </c>
      <c r="B30" s="8">
        <f>'03_Assumptions_BOM'!G11</f>
        <v/>
      </c>
      <c r="C30" s="23">
        <f>'02_Assumptions_GPU'!D11*'03_Assumptions_BOM'!G11/1000</f>
        <v/>
      </c>
      <c r="D30" s="23">
        <f>'02_Assumptions_GPU'!E11*'03_Assumptions_BOM'!G11/1000</f>
        <v/>
      </c>
      <c r="E30" s="23">
        <f>'02_Assumptions_GPU'!F11*'03_Assumptions_BOM'!G11/1000</f>
        <v/>
      </c>
      <c r="F30" s="23">
        <f>'02_Assumptions_GPU'!G11*'03_Assumptions_BOM'!G11/1000</f>
        <v/>
      </c>
      <c r="G30" s="23">
        <f>'02_Assumptions_GPU'!H11*'03_Assumptions_BOM'!G11/1000</f>
        <v/>
      </c>
    </row>
    <row r="31">
      <c r="A31" s="7">
        <f>'03_Assumptions_BOM'!A12</f>
        <v/>
      </c>
      <c r="B31" s="8">
        <f>'03_Assumptions_BOM'!G12</f>
        <v/>
      </c>
      <c r="C31" s="23">
        <f>'02_Assumptions_GPU'!D12*'03_Assumptions_BOM'!G12/1000</f>
        <v/>
      </c>
      <c r="D31" s="23">
        <f>'02_Assumptions_GPU'!E12*'03_Assumptions_BOM'!G12/1000</f>
        <v/>
      </c>
      <c r="E31" s="23">
        <f>'02_Assumptions_GPU'!F12*'03_Assumptions_BOM'!G12/1000</f>
        <v/>
      </c>
      <c r="F31" s="23">
        <f>'02_Assumptions_GPU'!G12*'03_Assumptions_BOM'!G12/1000</f>
        <v/>
      </c>
      <c r="G31" s="23">
        <f>'02_Assumptions_GPU'!H12*'03_Assumptions_BOM'!G12/1000</f>
        <v/>
      </c>
    </row>
    <row r="32">
      <c r="A32" s="7">
        <f>'03_Assumptions_BOM'!A13</f>
        <v/>
      </c>
      <c r="B32" s="8">
        <f>'03_Assumptions_BOM'!G13</f>
        <v/>
      </c>
      <c r="C32" s="23">
        <f>'02_Assumptions_GPU'!D13*'03_Assumptions_BOM'!G13/1000</f>
        <v/>
      </c>
      <c r="D32" s="23">
        <f>'02_Assumptions_GPU'!E13*'03_Assumptions_BOM'!G13/1000</f>
        <v/>
      </c>
      <c r="E32" s="23">
        <f>'02_Assumptions_GPU'!F13*'03_Assumptions_BOM'!G13/1000</f>
        <v/>
      </c>
      <c r="F32" s="23">
        <f>'02_Assumptions_GPU'!G13*'03_Assumptions_BOM'!G13/1000</f>
        <v/>
      </c>
      <c r="G32" s="23">
        <f>'02_Assumptions_GPU'!H13*'03_Assumptions_BOM'!G13/1000</f>
        <v/>
      </c>
    </row>
    <row r="33">
      <c r="A33" s="7">
        <f>'03_Assumptions_BOM'!A14</f>
        <v/>
      </c>
      <c r="B33" s="8">
        <f>'03_Assumptions_BOM'!G14</f>
        <v/>
      </c>
      <c r="C33" s="23">
        <f>'02_Assumptions_GPU'!D14*'03_Assumptions_BOM'!G14/1000</f>
        <v/>
      </c>
      <c r="D33" s="23">
        <f>'02_Assumptions_GPU'!E14*'03_Assumptions_BOM'!G14/1000</f>
        <v/>
      </c>
      <c r="E33" s="23">
        <f>'02_Assumptions_GPU'!F14*'03_Assumptions_BOM'!G14/1000</f>
        <v/>
      </c>
      <c r="F33" s="23">
        <f>'02_Assumptions_GPU'!G14*'03_Assumptions_BOM'!G14/1000</f>
        <v/>
      </c>
      <c r="G33" s="23">
        <f>'02_Assumptions_GPU'!H14*'03_Assumptions_BOM'!G14/1000</f>
        <v/>
      </c>
    </row>
    <row r="34">
      <c r="A34" s="7">
        <f>'03_Assumptions_BOM'!A15</f>
        <v/>
      </c>
      <c r="B34" s="8">
        <f>'03_Assumptions_BOM'!G15</f>
        <v/>
      </c>
      <c r="C34" s="23">
        <f>'02_Assumptions_GPU'!D15*'03_Assumptions_BOM'!G15/1000</f>
        <v/>
      </c>
      <c r="D34" s="23">
        <f>'02_Assumptions_GPU'!E15*'03_Assumptions_BOM'!G15/1000</f>
        <v/>
      </c>
      <c r="E34" s="23">
        <f>'02_Assumptions_GPU'!F15*'03_Assumptions_BOM'!G15/1000</f>
        <v/>
      </c>
      <c r="F34" s="23">
        <f>'02_Assumptions_GPU'!G15*'03_Assumptions_BOM'!G15/1000</f>
        <v/>
      </c>
      <c r="G34" s="23">
        <f>'02_Assumptions_GPU'!H15*'03_Assumptions_BOM'!G15/1000</f>
        <v/>
      </c>
    </row>
    <row r="35">
      <c r="A35" s="7">
        <f>'03_Assumptions_BOM'!A16</f>
        <v/>
      </c>
      <c r="B35" s="8">
        <f>'03_Assumptions_BOM'!G16</f>
        <v/>
      </c>
      <c r="C35" s="23">
        <f>'02_Assumptions_GPU'!D16*'03_Assumptions_BOM'!G16/1000</f>
        <v/>
      </c>
      <c r="D35" s="23">
        <f>'02_Assumptions_GPU'!E16*'03_Assumptions_BOM'!G16/1000</f>
        <v/>
      </c>
      <c r="E35" s="23">
        <f>'02_Assumptions_GPU'!F16*'03_Assumptions_BOM'!G16/1000</f>
        <v/>
      </c>
      <c r="F35" s="23">
        <f>'02_Assumptions_GPU'!G16*'03_Assumptions_BOM'!G16/1000</f>
        <v/>
      </c>
      <c r="G35" s="23">
        <f>'02_Assumptions_GPU'!H16*'03_Assumptions_BOM'!G16/1000</f>
        <v/>
      </c>
    </row>
    <row r="36">
      <c r="A36" s="7">
        <f>'03_Assumptions_BOM'!A17</f>
        <v/>
      </c>
      <c r="B36" s="8">
        <f>'03_Assumptions_BOM'!G17</f>
        <v/>
      </c>
      <c r="C36" s="23">
        <f>'02_Assumptions_GPU'!D17*'03_Assumptions_BOM'!G17/1000</f>
        <v/>
      </c>
      <c r="D36" s="23">
        <f>'02_Assumptions_GPU'!E17*'03_Assumptions_BOM'!G17/1000</f>
        <v/>
      </c>
      <c r="E36" s="23">
        <f>'02_Assumptions_GPU'!F17*'03_Assumptions_BOM'!G17/1000</f>
        <v/>
      </c>
      <c r="F36" s="23">
        <f>'02_Assumptions_GPU'!G17*'03_Assumptions_BOM'!G17/1000</f>
        <v/>
      </c>
      <c r="G36" s="23">
        <f>'02_Assumptions_GPU'!H17*'03_Assumptions_BOM'!G17/1000</f>
        <v/>
      </c>
    </row>
    <row r="37">
      <c r="A37" s="7">
        <f>'03_Assumptions_BOM'!A18</f>
        <v/>
      </c>
      <c r="B37" s="8">
        <f>'03_Assumptions_BOM'!G18</f>
        <v/>
      </c>
      <c r="C37" s="23">
        <f>'02_Assumptions_GPU'!D18*'03_Assumptions_BOM'!G18/1000</f>
        <v/>
      </c>
      <c r="D37" s="23">
        <f>'02_Assumptions_GPU'!E18*'03_Assumptions_BOM'!G18/1000</f>
        <v/>
      </c>
      <c r="E37" s="23">
        <f>'02_Assumptions_GPU'!F18*'03_Assumptions_BOM'!G18/1000</f>
        <v/>
      </c>
      <c r="F37" s="23">
        <f>'02_Assumptions_GPU'!G18*'03_Assumptions_BOM'!G18/1000</f>
        <v/>
      </c>
      <c r="G37" s="23">
        <f>'02_Assumptions_GPU'!H18*'03_Assumptions_BOM'!G18/1000</f>
        <v/>
      </c>
    </row>
    <row r="38">
      <c r="A38" s="17" t="inlineStr">
        <is>
          <t>AIDC小计</t>
        </is>
      </c>
      <c r="B38" s="14" t="n"/>
      <c r="C38" s="24">
        <f>SUM(C24:C37)</f>
        <v/>
      </c>
      <c r="D38" s="24">
        <f>SUM(D24:D37)</f>
        <v/>
      </c>
      <c r="E38" s="24">
        <f>SUM(E24:E37)</f>
        <v/>
      </c>
      <c r="F38" s="24">
        <f>SUM(F24:F37)</f>
        <v/>
      </c>
      <c r="G38" s="24">
        <f>SUM(G24:G37)</f>
        <v/>
      </c>
    </row>
    <row r="40">
      <c r="A40" s="26" t="inlineStr">
        <is>
          <t>[C] 超级电容（千颗）</t>
        </is>
      </c>
    </row>
    <row r="41">
      <c r="A41" s="6" t="inlineStr">
        <is>
          <t>平台</t>
        </is>
      </c>
      <c r="B41" s="6" t="inlineStr">
        <is>
          <t>单机用量</t>
        </is>
      </c>
      <c r="C41" s="6" t="inlineStr">
        <is>
          <t>2024</t>
        </is>
      </c>
      <c r="D41" s="6" t="inlineStr">
        <is>
          <t>2025</t>
        </is>
      </c>
      <c r="E41" s="6" t="inlineStr">
        <is>
          <t>2026</t>
        </is>
      </c>
      <c r="F41" s="6" t="inlineStr">
        <is>
          <t>2027</t>
        </is>
      </c>
      <c r="G41" s="6" t="inlineStr">
        <is>
          <t>2028</t>
        </is>
      </c>
    </row>
    <row r="42">
      <c r="A42" s="7">
        <f>'03_Assumptions_BOM'!A5</f>
        <v/>
      </c>
      <c r="B42" s="8">
        <f>'03_Assumptions_BOM'!H5</f>
        <v/>
      </c>
      <c r="C42" s="23">
        <f>'02_Assumptions_GPU'!D5*'03_Assumptions_BOM'!H5/1</f>
        <v/>
      </c>
      <c r="D42" s="23">
        <f>'02_Assumptions_GPU'!E5*'03_Assumptions_BOM'!H5/1</f>
        <v/>
      </c>
      <c r="E42" s="23">
        <f>'02_Assumptions_GPU'!F5*'03_Assumptions_BOM'!H5/1</f>
        <v/>
      </c>
      <c r="F42" s="23">
        <f>'02_Assumptions_GPU'!G5*'03_Assumptions_BOM'!H5/1</f>
        <v/>
      </c>
      <c r="G42" s="23">
        <f>'02_Assumptions_GPU'!H5*'03_Assumptions_BOM'!H5/1</f>
        <v/>
      </c>
    </row>
    <row r="43">
      <c r="A43" s="7">
        <f>'03_Assumptions_BOM'!A6</f>
        <v/>
      </c>
      <c r="B43" s="8">
        <f>'03_Assumptions_BOM'!H6</f>
        <v/>
      </c>
      <c r="C43" s="23">
        <f>'02_Assumptions_GPU'!D6*'03_Assumptions_BOM'!H6/1</f>
        <v/>
      </c>
      <c r="D43" s="23">
        <f>'02_Assumptions_GPU'!E6*'03_Assumptions_BOM'!H6/1</f>
        <v/>
      </c>
      <c r="E43" s="23">
        <f>'02_Assumptions_GPU'!F6*'03_Assumptions_BOM'!H6/1</f>
        <v/>
      </c>
      <c r="F43" s="23">
        <f>'02_Assumptions_GPU'!G6*'03_Assumptions_BOM'!H6/1</f>
        <v/>
      </c>
      <c r="G43" s="23">
        <f>'02_Assumptions_GPU'!H6*'03_Assumptions_BOM'!H6/1</f>
        <v/>
      </c>
    </row>
    <row r="44">
      <c r="A44" s="7">
        <f>'03_Assumptions_BOM'!A7</f>
        <v/>
      </c>
      <c r="B44" s="8">
        <f>'03_Assumptions_BOM'!H7</f>
        <v/>
      </c>
      <c r="C44" s="23">
        <f>'02_Assumptions_GPU'!D7*'03_Assumptions_BOM'!H7/1</f>
        <v/>
      </c>
      <c r="D44" s="23">
        <f>'02_Assumptions_GPU'!E7*'03_Assumptions_BOM'!H7/1</f>
        <v/>
      </c>
      <c r="E44" s="23">
        <f>'02_Assumptions_GPU'!F7*'03_Assumptions_BOM'!H7/1</f>
        <v/>
      </c>
      <c r="F44" s="23">
        <f>'02_Assumptions_GPU'!G7*'03_Assumptions_BOM'!H7/1</f>
        <v/>
      </c>
      <c r="G44" s="23">
        <f>'02_Assumptions_GPU'!H7*'03_Assumptions_BOM'!H7/1</f>
        <v/>
      </c>
    </row>
    <row r="45">
      <c r="A45" s="7">
        <f>'03_Assumptions_BOM'!A8</f>
        <v/>
      </c>
      <c r="B45" s="8">
        <f>'03_Assumptions_BOM'!H8</f>
        <v/>
      </c>
      <c r="C45" s="23">
        <f>'02_Assumptions_GPU'!D8*'03_Assumptions_BOM'!H8/1</f>
        <v/>
      </c>
      <c r="D45" s="23">
        <f>'02_Assumptions_GPU'!E8*'03_Assumptions_BOM'!H8/1</f>
        <v/>
      </c>
      <c r="E45" s="23">
        <f>'02_Assumptions_GPU'!F8*'03_Assumptions_BOM'!H8/1</f>
        <v/>
      </c>
      <c r="F45" s="23">
        <f>'02_Assumptions_GPU'!G8*'03_Assumptions_BOM'!H8/1</f>
        <v/>
      </c>
      <c r="G45" s="23">
        <f>'02_Assumptions_GPU'!H8*'03_Assumptions_BOM'!H8/1</f>
        <v/>
      </c>
    </row>
    <row r="46">
      <c r="A46" s="7">
        <f>'03_Assumptions_BOM'!A9</f>
        <v/>
      </c>
      <c r="B46" s="8">
        <f>'03_Assumptions_BOM'!H9</f>
        <v/>
      </c>
      <c r="C46" s="23">
        <f>'02_Assumptions_GPU'!D9*'03_Assumptions_BOM'!H9/1</f>
        <v/>
      </c>
      <c r="D46" s="23">
        <f>'02_Assumptions_GPU'!E9*'03_Assumptions_BOM'!H9/1</f>
        <v/>
      </c>
      <c r="E46" s="23">
        <f>'02_Assumptions_GPU'!F9*'03_Assumptions_BOM'!H9/1</f>
        <v/>
      </c>
      <c r="F46" s="23">
        <f>'02_Assumptions_GPU'!G9*'03_Assumptions_BOM'!H9/1</f>
        <v/>
      </c>
      <c r="G46" s="23">
        <f>'02_Assumptions_GPU'!H9*'03_Assumptions_BOM'!H9/1</f>
        <v/>
      </c>
    </row>
    <row r="47">
      <c r="A47" s="7">
        <f>'03_Assumptions_BOM'!A10</f>
        <v/>
      </c>
      <c r="B47" s="8">
        <f>'03_Assumptions_BOM'!H10</f>
        <v/>
      </c>
      <c r="C47" s="23">
        <f>'02_Assumptions_GPU'!D10*'03_Assumptions_BOM'!H10/1</f>
        <v/>
      </c>
      <c r="D47" s="23">
        <f>'02_Assumptions_GPU'!E10*'03_Assumptions_BOM'!H10/1</f>
        <v/>
      </c>
      <c r="E47" s="23">
        <f>'02_Assumptions_GPU'!F10*'03_Assumptions_BOM'!H10/1</f>
        <v/>
      </c>
      <c r="F47" s="23">
        <f>'02_Assumptions_GPU'!G10*'03_Assumptions_BOM'!H10/1</f>
        <v/>
      </c>
      <c r="G47" s="23">
        <f>'02_Assumptions_GPU'!H10*'03_Assumptions_BOM'!H10/1</f>
        <v/>
      </c>
    </row>
    <row r="48">
      <c r="A48" s="7">
        <f>'03_Assumptions_BOM'!A11</f>
        <v/>
      </c>
      <c r="B48" s="8">
        <f>'03_Assumptions_BOM'!H11</f>
        <v/>
      </c>
      <c r="C48" s="23">
        <f>'02_Assumptions_GPU'!D11*'03_Assumptions_BOM'!H11/1</f>
        <v/>
      </c>
      <c r="D48" s="23">
        <f>'02_Assumptions_GPU'!E11*'03_Assumptions_BOM'!H11/1</f>
        <v/>
      </c>
      <c r="E48" s="23">
        <f>'02_Assumptions_GPU'!F11*'03_Assumptions_BOM'!H11/1</f>
        <v/>
      </c>
      <c r="F48" s="23">
        <f>'02_Assumptions_GPU'!G11*'03_Assumptions_BOM'!H11/1</f>
        <v/>
      </c>
      <c r="G48" s="23">
        <f>'02_Assumptions_GPU'!H11*'03_Assumptions_BOM'!H11/1</f>
        <v/>
      </c>
    </row>
    <row r="49">
      <c r="A49" s="7">
        <f>'03_Assumptions_BOM'!A12</f>
        <v/>
      </c>
      <c r="B49" s="8">
        <f>'03_Assumptions_BOM'!H12</f>
        <v/>
      </c>
      <c r="C49" s="23">
        <f>'02_Assumptions_GPU'!D12*'03_Assumptions_BOM'!H12/1</f>
        <v/>
      </c>
      <c r="D49" s="23">
        <f>'02_Assumptions_GPU'!E12*'03_Assumptions_BOM'!H12/1</f>
        <v/>
      </c>
      <c r="E49" s="23">
        <f>'02_Assumptions_GPU'!F12*'03_Assumptions_BOM'!H12/1</f>
        <v/>
      </c>
      <c r="F49" s="23">
        <f>'02_Assumptions_GPU'!G12*'03_Assumptions_BOM'!H12/1</f>
        <v/>
      </c>
      <c r="G49" s="23">
        <f>'02_Assumptions_GPU'!H12*'03_Assumptions_BOM'!H12/1</f>
        <v/>
      </c>
    </row>
    <row r="50">
      <c r="A50" s="7">
        <f>'03_Assumptions_BOM'!A13</f>
        <v/>
      </c>
      <c r="B50" s="8">
        <f>'03_Assumptions_BOM'!H13</f>
        <v/>
      </c>
      <c r="C50" s="23">
        <f>'02_Assumptions_GPU'!D13*'03_Assumptions_BOM'!H13/1</f>
        <v/>
      </c>
      <c r="D50" s="23">
        <f>'02_Assumptions_GPU'!E13*'03_Assumptions_BOM'!H13/1</f>
        <v/>
      </c>
      <c r="E50" s="23">
        <f>'02_Assumptions_GPU'!F13*'03_Assumptions_BOM'!H13/1</f>
        <v/>
      </c>
      <c r="F50" s="23">
        <f>'02_Assumptions_GPU'!G13*'03_Assumptions_BOM'!H13/1</f>
        <v/>
      </c>
      <c r="G50" s="23">
        <f>'02_Assumptions_GPU'!H13*'03_Assumptions_BOM'!H13/1</f>
        <v/>
      </c>
    </row>
    <row r="51">
      <c r="A51" s="7">
        <f>'03_Assumptions_BOM'!A14</f>
        <v/>
      </c>
      <c r="B51" s="8">
        <f>'03_Assumptions_BOM'!H14</f>
        <v/>
      </c>
      <c r="C51" s="23">
        <f>'02_Assumptions_GPU'!D14*'03_Assumptions_BOM'!H14/1</f>
        <v/>
      </c>
      <c r="D51" s="23">
        <f>'02_Assumptions_GPU'!E14*'03_Assumptions_BOM'!H14/1</f>
        <v/>
      </c>
      <c r="E51" s="23">
        <f>'02_Assumptions_GPU'!F14*'03_Assumptions_BOM'!H14/1</f>
        <v/>
      </c>
      <c r="F51" s="23">
        <f>'02_Assumptions_GPU'!G14*'03_Assumptions_BOM'!H14/1</f>
        <v/>
      </c>
      <c r="G51" s="23">
        <f>'02_Assumptions_GPU'!H14*'03_Assumptions_BOM'!H14/1</f>
        <v/>
      </c>
    </row>
    <row r="52">
      <c r="A52" s="7">
        <f>'03_Assumptions_BOM'!A15</f>
        <v/>
      </c>
      <c r="B52" s="8">
        <f>'03_Assumptions_BOM'!H15</f>
        <v/>
      </c>
      <c r="C52" s="23">
        <f>'02_Assumptions_GPU'!D15*'03_Assumptions_BOM'!H15/1</f>
        <v/>
      </c>
      <c r="D52" s="23">
        <f>'02_Assumptions_GPU'!E15*'03_Assumptions_BOM'!H15/1</f>
        <v/>
      </c>
      <c r="E52" s="23">
        <f>'02_Assumptions_GPU'!F15*'03_Assumptions_BOM'!H15/1</f>
        <v/>
      </c>
      <c r="F52" s="23">
        <f>'02_Assumptions_GPU'!G15*'03_Assumptions_BOM'!H15/1</f>
        <v/>
      </c>
      <c r="G52" s="23">
        <f>'02_Assumptions_GPU'!H15*'03_Assumptions_BOM'!H15/1</f>
        <v/>
      </c>
    </row>
    <row r="53">
      <c r="A53" s="7">
        <f>'03_Assumptions_BOM'!A16</f>
        <v/>
      </c>
      <c r="B53" s="8">
        <f>'03_Assumptions_BOM'!H16</f>
        <v/>
      </c>
      <c r="C53" s="23">
        <f>'02_Assumptions_GPU'!D16*'03_Assumptions_BOM'!H16/1</f>
        <v/>
      </c>
      <c r="D53" s="23">
        <f>'02_Assumptions_GPU'!E16*'03_Assumptions_BOM'!H16/1</f>
        <v/>
      </c>
      <c r="E53" s="23">
        <f>'02_Assumptions_GPU'!F16*'03_Assumptions_BOM'!H16/1</f>
        <v/>
      </c>
      <c r="F53" s="23">
        <f>'02_Assumptions_GPU'!G16*'03_Assumptions_BOM'!H16/1</f>
        <v/>
      </c>
      <c r="G53" s="23">
        <f>'02_Assumptions_GPU'!H16*'03_Assumptions_BOM'!H16/1</f>
        <v/>
      </c>
    </row>
    <row r="54">
      <c r="A54" s="7">
        <f>'03_Assumptions_BOM'!A17</f>
        <v/>
      </c>
      <c r="B54" s="8">
        <f>'03_Assumptions_BOM'!H17</f>
        <v/>
      </c>
      <c r="C54" s="23">
        <f>'02_Assumptions_GPU'!D17*'03_Assumptions_BOM'!H17/1</f>
        <v/>
      </c>
      <c r="D54" s="23">
        <f>'02_Assumptions_GPU'!E17*'03_Assumptions_BOM'!H17/1</f>
        <v/>
      </c>
      <c r="E54" s="23">
        <f>'02_Assumptions_GPU'!F17*'03_Assumptions_BOM'!H17/1</f>
        <v/>
      </c>
      <c r="F54" s="23">
        <f>'02_Assumptions_GPU'!G17*'03_Assumptions_BOM'!H17/1</f>
        <v/>
      </c>
      <c r="G54" s="23">
        <f>'02_Assumptions_GPU'!H17*'03_Assumptions_BOM'!H17/1</f>
        <v/>
      </c>
    </row>
    <row r="55">
      <c r="A55" s="7">
        <f>'03_Assumptions_BOM'!A18</f>
        <v/>
      </c>
      <c r="B55" s="8">
        <f>'03_Assumptions_BOM'!H18</f>
        <v/>
      </c>
      <c r="C55" s="23">
        <f>'02_Assumptions_GPU'!D18*'03_Assumptions_BOM'!H18/1</f>
        <v/>
      </c>
      <c r="D55" s="23">
        <f>'02_Assumptions_GPU'!E18*'03_Assumptions_BOM'!H18/1</f>
        <v/>
      </c>
      <c r="E55" s="23">
        <f>'02_Assumptions_GPU'!F18*'03_Assumptions_BOM'!H18/1</f>
        <v/>
      </c>
      <c r="F55" s="23">
        <f>'02_Assumptions_GPU'!G18*'03_Assumptions_BOM'!H18/1</f>
        <v/>
      </c>
      <c r="G55" s="23">
        <f>'02_Assumptions_GPU'!H18*'03_Assumptions_BOM'!H18/1</f>
        <v/>
      </c>
    </row>
    <row r="56">
      <c r="A56" s="17" t="inlineStr">
        <is>
          <t>AIDC小计</t>
        </is>
      </c>
      <c r="B56" s="14" t="n"/>
      <c r="C56" s="24">
        <f>SUM(C42:C55)</f>
        <v/>
      </c>
      <c r="D56" s="24">
        <f>SUM(D42:D55)</f>
        <v/>
      </c>
      <c r="E56" s="24">
        <f>SUM(E42:E55)</f>
        <v/>
      </c>
      <c r="F56" s="24">
        <f>SUM(F42:F55)</f>
        <v/>
      </c>
      <c r="G56" s="24">
        <f>SUM(G42:G55)</f>
        <v/>
      </c>
    </row>
    <row r="58">
      <c r="A58" s="26" t="inlineStr">
        <is>
          <t>[D] 片式电阻（十亿颗）</t>
        </is>
      </c>
    </row>
    <row r="59">
      <c r="A59" s="6" t="inlineStr">
        <is>
          <t>平台</t>
        </is>
      </c>
      <c r="B59" s="6" t="inlineStr">
        <is>
          <t>单机用量</t>
        </is>
      </c>
      <c r="C59" s="6" t="inlineStr">
        <is>
          <t>2024</t>
        </is>
      </c>
      <c r="D59" s="6" t="inlineStr">
        <is>
          <t>2025</t>
        </is>
      </c>
      <c r="E59" s="6" t="inlineStr">
        <is>
          <t>2026</t>
        </is>
      </c>
      <c r="F59" s="6" t="inlineStr">
        <is>
          <t>2027</t>
        </is>
      </c>
      <c r="G59" s="6" t="inlineStr">
        <is>
          <t>2028</t>
        </is>
      </c>
    </row>
    <row r="60">
      <c r="A60" s="7">
        <f>'03_Assumptions_BOM'!A5</f>
        <v/>
      </c>
      <c r="B60" s="8">
        <f>'03_Assumptions_BOM'!I5</f>
        <v/>
      </c>
      <c r="C60" s="18">
        <f>'02_Assumptions_GPU'!D5*'03_Assumptions_BOM'!I5/1000000</f>
        <v/>
      </c>
      <c r="D60" s="18">
        <f>'02_Assumptions_GPU'!E5*'03_Assumptions_BOM'!I5/1000000</f>
        <v/>
      </c>
      <c r="E60" s="18">
        <f>'02_Assumptions_GPU'!F5*'03_Assumptions_BOM'!I5/1000000</f>
        <v/>
      </c>
      <c r="F60" s="18">
        <f>'02_Assumptions_GPU'!G5*'03_Assumptions_BOM'!I5/1000000</f>
        <v/>
      </c>
      <c r="G60" s="18">
        <f>'02_Assumptions_GPU'!H5*'03_Assumptions_BOM'!I5/1000000</f>
        <v/>
      </c>
    </row>
    <row r="61">
      <c r="A61" s="7">
        <f>'03_Assumptions_BOM'!A6</f>
        <v/>
      </c>
      <c r="B61" s="8">
        <f>'03_Assumptions_BOM'!I6</f>
        <v/>
      </c>
      <c r="C61" s="18">
        <f>'02_Assumptions_GPU'!D6*'03_Assumptions_BOM'!I6/1000000</f>
        <v/>
      </c>
      <c r="D61" s="18">
        <f>'02_Assumptions_GPU'!E6*'03_Assumptions_BOM'!I6/1000000</f>
        <v/>
      </c>
      <c r="E61" s="18">
        <f>'02_Assumptions_GPU'!F6*'03_Assumptions_BOM'!I6/1000000</f>
        <v/>
      </c>
      <c r="F61" s="18">
        <f>'02_Assumptions_GPU'!G6*'03_Assumptions_BOM'!I6/1000000</f>
        <v/>
      </c>
      <c r="G61" s="18">
        <f>'02_Assumptions_GPU'!H6*'03_Assumptions_BOM'!I6/1000000</f>
        <v/>
      </c>
    </row>
    <row r="62">
      <c r="A62" s="7">
        <f>'03_Assumptions_BOM'!A7</f>
        <v/>
      </c>
      <c r="B62" s="8">
        <f>'03_Assumptions_BOM'!I7</f>
        <v/>
      </c>
      <c r="C62" s="18">
        <f>'02_Assumptions_GPU'!D7*'03_Assumptions_BOM'!I7/1000000</f>
        <v/>
      </c>
      <c r="D62" s="18">
        <f>'02_Assumptions_GPU'!E7*'03_Assumptions_BOM'!I7/1000000</f>
        <v/>
      </c>
      <c r="E62" s="18">
        <f>'02_Assumptions_GPU'!F7*'03_Assumptions_BOM'!I7/1000000</f>
        <v/>
      </c>
      <c r="F62" s="18">
        <f>'02_Assumptions_GPU'!G7*'03_Assumptions_BOM'!I7/1000000</f>
        <v/>
      </c>
      <c r="G62" s="18">
        <f>'02_Assumptions_GPU'!H7*'03_Assumptions_BOM'!I7/1000000</f>
        <v/>
      </c>
    </row>
    <row r="63">
      <c r="A63" s="7">
        <f>'03_Assumptions_BOM'!A8</f>
        <v/>
      </c>
      <c r="B63" s="8">
        <f>'03_Assumptions_BOM'!I8</f>
        <v/>
      </c>
      <c r="C63" s="18">
        <f>'02_Assumptions_GPU'!D8*'03_Assumptions_BOM'!I8/1000000</f>
        <v/>
      </c>
      <c r="D63" s="18">
        <f>'02_Assumptions_GPU'!E8*'03_Assumptions_BOM'!I8/1000000</f>
        <v/>
      </c>
      <c r="E63" s="18">
        <f>'02_Assumptions_GPU'!F8*'03_Assumptions_BOM'!I8/1000000</f>
        <v/>
      </c>
      <c r="F63" s="18">
        <f>'02_Assumptions_GPU'!G8*'03_Assumptions_BOM'!I8/1000000</f>
        <v/>
      </c>
      <c r="G63" s="18">
        <f>'02_Assumptions_GPU'!H8*'03_Assumptions_BOM'!I8/1000000</f>
        <v/>
      </c>
    </row>
    <row r="64">
      <c r="A64" s="7">
        <f>'03_Assumptions_BOM'!A9</f>
        <v/>
      </c>
      <c r="B64" s="8">
        <f>'03_Assumptions_BOM'!I9</f>
        <v/>
      </c>
      <c r="C64" s="18">
        <f>'02_Assumptions_GPU'!D9*'03_Assumptions_BOM'!I9/1000000</f>
        <v/>
      </c>
      <c r="D64" s="18">
        <f>'02_Assumptions_GPU'!E9*'03_Assumptions_BOM'!I9/1000000</f>
        <v/>
      </c>
      <c r="E64" s="18">
        <f>'02_Assumptions_GPU'!F9*'03_Assumptions_BOM'!I9/1000000</f>
        <v/>
      </c>
      <c r="F64" s="18">
        <f>'02_Assumptions_GPU'!G9*'03_Assumptions_BOM'!I9/1000000</f>
        <v/>
      </c>
      <c r="G64" s="18">
        <f>'02_Assumptions_GPU'!H9*'03_Assumptions_BOM'!I9/1000000</f>
        <v/>
      </c>
    </row>
    <row r="65">
      <c r="A65" s="7">
        <f>'03_Assumptions_BOM'!A10</f>
        <v/>
      </c>
      <c r="B65" s="8">
        <f>'03_Assumptions_BOM'!I10</f>
        <v/>
      </c>
      <c r="C65" s="18">
        <f>'02_Assumptions_GPU'!D10*'03_Assumptions_BOM'!I10/1000000</f>
        <v/>
      </c>
      <c r="D65" s="18">
        <f>'02_Assumptions_GPU'!E10*'03_Assumptions_BOM'!I10/1000000</f>
        <v/>
      </c>
      <c r="E65" s="18">
        <f>'02_Assumptions_GPU'!F10*'03_Assumptions_BOM'!I10/1000000</f>
        <v/>
      </c>
      <c r="F65" s="18">
        <f>'02_Assumptions_GPU'!G10*'03_Assumptions_BOM'!I10/1000000</f>
        <v/>
      </c>
      <c r="G65" s="18">
        <f>'02_Assumptions_GPU'!H10*'03_Assumptions_BOM'!I10/1000000</f>
        <v/>
      </c>
    </row>
    <row r="66">
      <c r="A66" s="7">
        <f>'03_Assumptions_BOM'!A11</f>
        <v/>
      </c>
      <c r="B66" s="8">
        <f>'03_Assumptions_BOM'!I11</f>
        <v/>
      </c>
      <c r="C66" s="18">
        <f>'02_Assumptions_GPU'!D11*'03_Assumptions_BOM'!I11/1000000</f>
        <v/>
      </c>
      <c r="D66" s="18">
        <f>'02_Assumptions_GPU'!E11*'03_Assumptions_BOM'!I11/1000000</f>
        <v/>
      </c>
      <c r="E66" s="18">
        <f>'02_Assumptions_GPU'!F11*'03_Assumptions_BOM'!I11/1000000</f>
        <v/>
      </c>
      <c r="F66" s="18">
        <f>'02_Assumptions_GPU'!G11*'03_Assumptions_BOM'!I11/1000000</f>
        <v/>
      </c>
      <c r="G66" s="18">
        <f>'02_Assumptions_GPU'!H11*'03_Assumptions_BOM'!I11/1000000</f>
        <v/>
      </c>
    </row>
    <row r="67">
      <c r="A67" s="7">
        <f>'03_Assumptions_BOM'!A12</f>
        <v/>
      </c>
      <c r="B67" s="8">
        <f>'03_Assumptions_BOM'!I12</f>
        <v/>
      </c>
      <c r="C67" s="18">
        <f>'02_Assumptions_GPU'!D12*'03_Assumptions_BOM'!I12/1000000</f>
        <v/>
      </c>
      <c r="D67" s="18">
        <f>'02_Assumptions_GPU'!E12*'03_Assumptions_BOM'!I12/1000000</f>
        <v/>
      </c>
      <c r="E67" s="18">
        <f>'02_Assumptions_GPU'!F12*'03_Assumptions_BOM'!I12/1000000</f>
        <v/>
      </c>
      <c r="F67" s="18">
        <f>'02_Assumptions_GPU'!G12*'03_Assumptions_BOM'!I12/1000000</f>
        <v/>
      </c>
      <c r="G67" s="18">
        <f>'02_Assumptions_GPU'!H12*'03_Assumptions_BOM'!I12/1000000</f>
        <v/>
      </c>
    </row>
    <row r="68">
      <c r="A68" s="7">
        <f>'03_Assumptions_BOM'!A13</f>
        <v/>
      </c>
      <c r="B68" s="8">
        <f>'03_Assumptions_BOM'!I13</f>
        <v/>
      </c>
      <c r="C68" s="18">
        <f>'02_Assumptions_GPU'!D13*'03_Assumptions_BOM'!I13/1000000</f>
        <v/>
      </c>
      <c r="D68" s="18">
        <f>'02_Assumptions_GPU'!E13*'03_Assumptions_BOM'!I13/1000000</f>
        <v/>
      </c>
      <c r="E68" s="18">
        <f>'02_Assumptions_GPU'!F13*'03_Assumptions_BOM'!I13/1000000</f>
        <v/>
      </c>
      <c r="F68" s="18">
        <f>'02_Assumptions_GPU'!G13*'03_Assumptions_BOM'!I13/1000000</f>
        <v/>
      </c>
      <c r="G68" s="18">
        <f>'02_Assumptions_GPU'!H13*'03_Assumptions_BOM'!I13/1000000</f>
        <v/>
      </c>
    </row>
    <row r="69">
      <c r="A69" s="7">
        <f>'03_Assumptions_BOM'!A14</f>
        <v/>
      </c>
      <c r="B69" s="8">
        <f>'03_Assumptions_BOM'!I14</f>
        <v/>
      </c>
      <c r="C69" s="18">
        <f>'02_Assumptions_GPU'!D14*'03_Assumptions_BOM'!I14/1000000</f>
        <v/>
      </c>
      <c r="D69" s="18">
        <f>'02_Assumptions_GPU'!E14*'03_Assumptions_BOM'!I14/1000000</f>
        <v/>
      </c>
      <c r="E69" s="18">
        <f>'02_Assumptions_GPU'!F14*'03_Assumptions_BOM'!I14/1000000</f>
        <v/>
      </c>
      <c r="F69" s="18">
        <f>'02_Assumptions_GPU'!G14*'03_Assumptions_BOM'!I14/1000000</f>
        <v/>
      </c>
      <c r="G69" s="18">
        <f>'02_Assumptions_GPU'!H14*'03_Assumptions_BOM'!I14/1000000</f>
        <v/>
      </c>
    </row>
    <row r="70">
      <c r="A70" s="7">
        <f>'03_Assumptions_BOM'!A15</f>
        <v/>
      </c>
      <c r="B70" s="8">
        <f>'03_Assumptions_BOM'!I15</f>
        <v/>
      </c>
      <c r="C70" s="18">
        <f>'02_Assumptions_GPU'!D15*'03_Assumptions_BOM'!I15/1000000</f>
        <v/>
      </c>
      <c r="D70" s="18">
        <f>'02_Assumptions_GPU'!E15*'03_Assumptions_BOM'!I15/1000000</f>
        <v/>
      </c>
      <c r="E70" s="18">
        <f>'02_Assumptions_GPU'!F15*'03_Assumptions_BOM'!I15/1000000</f>
        <v/>
      </c>
      <c r="F70" s="18">
        <f>'02_Assumptions_GPU'!G15*'03_Assumptions_BOM'!I15/1000000</f>
        <v/>
      </c>
      <c r="G70" s="18">
        <f>'02_Assumptions_GPU'!H15*'03_Assumptions_BOM'!I15/1000000</f>
        <v/>
      </c>
    </row>
    <row r="71">
      <c r="A71" s="7">
        <f>'03_Assumptions_BOM'!A16</f>
        <v/>
      </c>
      <c r="B71" s="8">
        <f>'03_Assumptions_BOM'!I16</f>
        <v/>
      </c>
      <c r="C71" s="18">
        <f>'02_Assumptions_GPU'!D16*'03_Assumptions_BOM'!I16/1000000</f>
        <v/>
      </c>
      <c r="D71" s="18">
        <f>'02_Assumptions_GPU'!E16*'03_Assumptions_BOM'!I16/1000000</f>
        <v/>
      </c>
      <c r="E71" s="18">
        <f>'02_Assumptions_GPU'!F16*'03_Assumptions_BOM'!I16/1000000</f>
        <v/>
      </c>
      <c r="F71" s="18">
        <f>'02_Assumptions_GPU'!G16*'03_Assumptions_BOM'!I16/1000000</f>
        <v/>
      </c>
      <c r="G71" s="18">
        <f>'02_Assumptions_GPU'!H16*'03_Assumptions_BOM'!I16/1000000</f>
        <v/>
      </c>
    </row>
    <row r="72">
      <c r="A72" s="7">
        <f>'03_Assumptions_BOM'!A17</f>
        <v/>
      </c>
      <c r="B72" s="8">
        <f>'03_Assumptions_BOM'!I17</f>
        <v/>
      </c>
      <c r="C72" s="18">
        <f>'02_Assumptions_GPU'!D17*'03_Assumptions_BOM'!I17/1000000</f>
        <v/>
      </c>
      <c r="D72" s="18">
        <f>'02_Assumptions_GPU'!E17*'03_Assumptions_BOM'!I17/1000000</f>
        <v/>
      </c>
      <c r="E72" s="18">
        <f>'02_Assumptions_GPU'!F17*'03_Assumptions_BOM'!I17/1000000</f>
        <v/>
      </c>
      <c r="F72" s="18">
        <f>'02_Assumptions_GPU'!G17*'03_Assumptions_BOM'!I17/1000000</f>
        <v/>
      </c>
      <c r="G72" s="18">
        <f>'02_Assumptions_GPU'!H17*'03_Assumptions_BOM'!I17/1000000</f>
        <v/>
      </c>
    </row>
    <row r="73">
      <c r="A73" s="7">
        <f>'03_Assumptions_BOM'!A18</f>
        <v/>
      </c>
      <c r="B73" s="8">
        <f>'03_Assumptions_BOM'!I18</f>
        <v/>
      </c>
      <c r="C73" s="18">
        <f>'02_Assumptions_GPU'!D18*'03_Assumptions_BOM'!I18/1000000</f>
        <v/>
      </c>
      <c r="D73" s="18">
        <f>'02_Assumptions_GPU'!E18*'03_Assumptions_BOM'!I18/1000000</f>
        <v/>
      </c>
      <c r="E73" s="18">
        <f>'02_Assumptions_GPU'!F18*'03_Assumptions_BOM'!I18/1000000</f>
        <v/>
      </c>
      <c r="F73" s="18">
        <f>'02_Assumptions_GPU'!G18*'03_Assumptions_BOM'!I18/1000000</f>
        <v/>
      </c>
      <c r="G73" s="18">
        <f>'02_Assumptions_GPU'!H18*'03_Assumptions_BOM'!I18/1000000</f>
        <v/>
      </c>
    </row>
    <row r="74">
      <c r="A74" s="17" t="inlineStr">
        <is>
          <t>AIDC小计</t>
        </is>
      </c>
      <c r="B74" s="14" t="n"/>
      <c r="C74" s="19">
        <f>SUM(C60:C73)</f>
        <v/>
      </c>
      <c r="D74" s="19">
        <f>SUM(D60:D73)</f>
        <v/>
      </c>
      <c r="E74" s="19">
        <f>SUM(E60:E73)</f>
        <v/>
      </c>
      <c r="F74" s="19">
        <f>SUM(F60:F73)</f>
        <v/>
      </c>
      <c r="G74" s="19">
        <f>SUM(G60:G73)</f>
        <v/>
      </c>
    </row>
  </sheetData>
  <mergeCells count="5">
    <mergeCell ref="A4:H4"/>
    <mergeCell ref="A1:H1"/>
    <mergeCell ref="A58:H58"/>
    <mergeCell ref="A22:H22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8" customWidth="1" min="7" max="7"/>
  </cols>
  <sheetData>
    <row r="1">
      <c r="A1" s="10" t="inlineStr">
        <is>
          <t>供需缺口与价格弹性预测（核心sheet）</t>
        </is>
      </c>
    </row>
    <row r="3">
      <c r="A3" s="16" t="inlineStr">
        <is>
          <t>[A] MLCC高端品类供需缺口（十亿颗）</t>
        </is>
      </c>
    </row>
    <row r="4">
      <c r="A4" s="6" t="inlineStr">
        <is>
          <t>项目</t>
        </is>
      </c>
      <c r="B4" s="6" t="inlineStr">
        <is>
          <t>2024</t>
        </is>
      </c>
      <c r="C4" s="6" t="inlineStr">
        <is>
          <t>2025</t>
        </is>
      </c>
      <c r="D4" s="6" t="inlineStr">
        <is>
          <t>2026</t>
        </is>
      </c>
      <c r="E4" s="6" t="inlineStr">
        <is>
          <t>2027</t>
        </is>
      </c>
      <c r="F4" s="6" t="inlineStr">
        <is>
          <t>2028</t>
        </is>
      </c>
      <c r="G4" s="6" t="inlineStr">
        <is>
          <t>备注</t>
        </is>
      </c>
    </row>
    <row r="5">
      <c r="A5" s="7" t="inlineStr">
        <is>
          <t>供给（高端MLCC总产能）</t>
        </is>
      </c>
      <c r="B5" s="23">
        <f>'04_Assumptions_Supply'!B15</f>
        <v/>
      </c>
      <c r="C5" s="23">
        <f>'04_Assumptions_Supply'!C15</f>
        <v/>
      </c>
      <c r="D5" s="23">
        <f>'04_Assumptions_Supply'!D15</f>
        <v/>
      </c>
      <c r="E5" s="23">
        <f>'04_Assumptions_Supply'!E15</f>
        <v/>
      </c>
      <c r="F5" s="23">
        <f>'04_Assumptions_Supply'!F15</f>
        <v/>
      </c>
      <c r="G5" s="27" t="inlineStr">
        <is>
          <t>来自Sheet 04各原厂产能合计</t>
        </is>
      </c>
    </row>
    <row r="6">
      <c r="A6" s="7" t="inlineStr">
        <is>
          <t>需求（高端MLCC总需求）</t>
        </is>
      </c>
      <c r="B6" s="23">
        <f>'05_Demand_MLCC'!C21</f>
        <v/>
      </c>
      <c r="C6" s="23">
        <f>'05_Demand_MLCC'!D21</f>
        <v/>
      </c>
      <c r="D6" s="23">
        <f>'05_Demand_MLCC'!E21</f>
        <v/>
      </c>
      <c r="E6" s="23">
        <f>'05_Demand_MLCC'!F21</f>
        <v/>
      </c>
      <c r="F6" s="23">
        <f>'05_Demand_MLCC'!G21</f>
        <v/>
      </c>
      <c r="G6" s="27" t="inlineStr">
        <is>
          <t>AIDC + 非AIDC合计</t>
        </is>
      </c>
    </row>
    <row r="7">
      <c r="A7" s="17" t="inlineStr">
        <is>
          <t>缺口（供给-需求）</t>
        </is>
      </c>
      <c r="B7" s="24">
        <f>B5-B6</f>
        <v/>
      </c>
      <c r="C7" s="24">
        <f>C5-C6</f>
        <v/>
      </c>
      <c r="D7" s="24">
        <f>D5-D6</f>
        <v/>
      </c>
      <c r="E7" s="24">
        <f>E5-E6</f>
        <v/>
      </c>
      <c r="F7" s="24">
        <f>F5-F6</f>
        <v/>
      </c>
      <c r="G7" s="17" t="inlineStr">
        <is>
          <t>负值=短缺</t>
        </is>
      </c>
    </row>
    <row r="8">
      <c r="A8" s="7" t="inlineStr">
        <is>
          <t>产能利用率(=需求/供给)</t>
        </is>
      </c>
      <c r="B8" s="28">
        <f>B6/B5</f>
        <v/>
      </c>
      <c r="C8" s="28">
        <f>C6/C5</f>
        <v/>
      </c>
      <c r="D8" s="28">
        <f>D6/D5</f>
        <v/>
      </c>
      <c r="E8" s="28">
        <f>E6/E5</f>
        <v/>
      </c>
      <c r="F8" s="28">
        <f>F6/F5</f>
        <v/>
      </c>
      <c r="G8" s="27" t="inlineStr">
        <is>
          <t>&gt;100%表明实质性短缺</t>
        </is>
      </c>
    </row>
    <row r="9">
      <c r="A9" s="7" t="inlineStr">
        <is>
          <t>MLCC高端均价同比涨幅（推算）</t>
        </is>
      </c>
      <c r="B9" s="29" t="inlineStr">
        <is>
          <t>—</t>
        </is>
      </c>
      <c r="C9" s="29" t="inlineStr">
        <is>
          <t>5%</t>
        </is>
      </c>
      <c r="D9" s="29" t="inlineStr">
        <is>
          <t>20%</t>
        </is>
      </c>
      <c r="E9" s="29" t="inlineStr">
        <is>
          <t>12%</t>
        </is>
      </c>
      <c r="F9" s="29" t="inlineStr">
        <is>
          <t>5%</t>
        </is>
      </c>
      <c r="G9" s="27" t="inlineStr">
        <is>
          <t>基于历史弹性+原材料成本+扩产兑现</t>
        </is>
      </c>
    </row>
    <row r="11">
      <c r="A11" s="16" t="inlineStr">
        <is>
          <t>[B] 高端AI功率电感供需缺口（亿颗）</t>
        </is>
      </c>
    </row>
    <row r="12">
      <c r="A12" s="6" t="inlineStr">
        <is>
          <t>项目</t>
        </is>
      </c>
      <c r="B12" s="6" t="inlineStr">
        <is>
          <t>2024</t>
        </is>
      </c>
      <c r="C12" s="6" t="inlineStr">
        <is>
          <t>2025</t>
        </is>
      </c>
      <c r="D12" s="6" t="inlineStr">
        <is>
          <t>2026</t>
        </is>
      </c>
      <c r="E12" s="6" t="inlineStr">
        <is>
          <t>2027</t>
        </is>
      </c>
      <c r="F12" s="6" t="inlineStr">
        <is>
          <t>2028</t>
        </is>
      </c>
      <c r="G12" s="6" t="inlineStr">
        <is>
          <t>备注</t>
        </is>
      </c>
    </row>
    <row r="13">
      <c r="A13" s="7" t="inlineStr">
        <is>
          <t>供给（高端电感产能）</t>
        </is>
      </c>
      <c r="B13" s="23">
        <f>'04_Assumptions_Supply'!B25</f>
        <v/>
      </c>
      <c r="C13" s="23">
        <f>'04_Assumptions_Supply'!C25</f>
        <v/>
      </c>
      <c r="D13" s="23">
        <f>'04_Assumptions_Supply'!D25</f>
        <v/>
      </c>
      <c r="E13" s="23">
        <f>'04_Assumptions_Supply'!E25</f>
        <v/>
      </c>
      <c r="F13" s="23">
        <f>'04_Assumptions_Supply'!F25</f>
        <v/>
      </c>
      <c r="G13" s="30" t="n"/>
    </row>
    <row r="14">
      <c r="A14" s="7" t="inlineStr">
        <is>
          <t>需求（高端电感总需求）</t>
        </is>
      </c>
      <c r="B14" s="23">
        <f>'06_Demand_Inductor'!C21</f>
        <v/>
      </c>
      <c r="C14" s="23">
        <f>'06_Demand_Inductor'!D21</f>
        <v/>
      </c>
      <c r="D14" s="23">
        <f>'06_Demand_Inductor'!E21</f>
        <v/>
      </c>
      <c r="E14" s="23">
        <f>'06_Demand_Inductor'!F21</f>
        <v/>
      </c>
      <c r="F14" s="23">
        <f>'06_Demand_Inductor'!G21</f>
        <v/>
      </c>
      <c r="G14" s="30" t="n"/>
    </row>
    <row r="15">
      <c r="A15" s="17" t="inlineStr">
        <is>
          <t>缺口</t>
        </is>
      </c>
      <c r="B15" s="24">
        <f>B13-B14</f>
        <v/>
      </c>
      <c r="C15" s="24">
        <f>C13-C14</f>
        <v/>
      </c>
      <c r="D15" s="24">
        <f>D13-D14</f>
        <v/>
      </c>
      <c r="E15" s="24">
        <f>E13-E14</f>
        <v/>
      </c>
      <c r="F15" s="24">
        <f>F13-F14</f>
        <v/>
      </c>
      <c r="G15" s="31" t="inlineStr">
        <is>
          <t>负值=短缺</t>
        </is>
      </c>
    </row>
    <row r="16">
      <c r="A16" s="7" t="inlineStr">
        <is>
          <t>产能利用率</t>
        </is>
      </c>
      <c r="B16" s="28">
        <f>B14/B13</f>
        <v/>
      </c>
      <c r="C16" s="28">
        <f>C14/C13</f>
        <v/>
      </c>
      <c r="D16" s="28">
        <f>D14/D13</f>
        <v/>
      </c>
      <c r="E16" s="28">
        <f>E14/E13</f>
        <v/>
      </c>
      <c r="F16" s="28">
        <f>F14/F13</f>
        <v/>
      </c>
      <c r="G16" s="30" t="n"/>
    </row>
    <row r="17">
      <c r="A17" s="7" t="inlineStr">
        <is>
          <t>电感均价同比涨幅（推算）</t>
        </is>
      </c>
      <c r="B17" s="29" t="inlineStr">
        <is>
          <t>—</t>
        </is>
      </c>
      <c r="C17" s="29" t="inlineStr">
        <is>
          <t>8%</t>
        </is>
      </c>
      <c r="D17" s="29" t="inlineStr">
        <is>
          <t>15%</t>
        </is>
      </c>
      <c r="E17" s="29" t="inlineStr">
        <is>
          <t>10%</t>
        </is>
      </c>
      <c r="F17" s="29" t="inlineStr">
        <is>
          <t>4%</t>
        </is>
      </c>
      <c r="G17" s="30" t="n"/>
    </row>
    <row r="19">
      <c r="A19" s="16" t="inlineStr">
        <is>
          <t>[C] HVDC薄膜电容供需缺口（百万颗）</t>
        </is>
      </c>
    </row>
    <row r="20">
      <c r="A20" s="6" t="inlineStr">
        <is>
          <t>项目</t>
        </is>
      </c>
      <c r="B20" s="6" t="inlineStr">
        <is>
          <t>2024</t>
        </is>
      </c>
      <c r="C20" s="6" t="inlineStr">
        <is>
          <t>2025</t>
        </is>
      </c>
      <c r="D20" s="6" t="inlineStr">
        <is>
          <t>2026</t>
        </is>
      </c>
      <c r="E20" s="6" t="inlineStr">
        <is>
          <t>2027</t>
        </is>
      </c>
      <c r="F20" s="6" t="inlineStr">
        <is>
          <t>2028</t>
        </is>
      </c>
      <c r="G20" s="6" t="inlineStr">
        <is>
          <t>备注</t>
        </is>
      </c>
    </row>
    <row r="21">
      <c r="A21" s="7" t="inlineStr">
        <is>
          <t>供给（高端薄膜产能）</t>
        </is>
      </c>
      <c r="B21" s="23">
        <f>'04_Assumptions_Supply'!B36</f>
        <v/>
      </c>
      <c r="C21" s="23">
        <f>'04_Assumptions_Supply'!C36</f>
        <v/>
      </c>
      <c r="D21" s="23">
        <f>'04_Assumptions_Supply'!D36</f>
        <v/>
      </c>
      <c r="E21" s="23">
        <f>'04_Assumptions_Supply'!E36</f>
        <v/>
      </c>
      <c r="F21" s="23">
        <f>'04_Assumptions_Supply'!F36</f>
        <v/>
      </c>
      <c r="G21" s="30" t="n"/>
    </row>
    <row r="22">
      <c r="A22" s="7" t="inlineStr">
        <is>
          <t>需求（HVDC薄膜总需求）</t>
        </is>
      </c>
      <c r="B22" s="23">
        <f>'07_Demand_FilmCap'!C21</f>
        <v/>
      </c>
      <c r="C22" s="23">
        <f>'07_Demand_FilmCap'!D21</f>
        <v/>
      </c>
      <c r="D22" s="23">
        <f>'07_Demand_FilmCap'!E21</f>
        <v/>
      </c>
      <c r="E22" s="23">
        <f>'07_Demand_FilmCap'!F21</f>
        <v/>
      </c>
      <c r="F22" s="23">
        <f>'07_Demand_FilmCap'!G21</f>
        <v/>
      </c>
      <c r="G22" s="30" t="n"/>
    </row>
    <row r="23">
      <c r="A23" s="17" t="inlineStr">
        <is>
          <t>缺口</t>
        </is>
      </c>
      <c r="B23" s="24">
        <f>B21-B22</f>
        <v/>
      </c>
      <c r="C23" s="24">
        <f>C21-C22</f>
        <v/>
      </c>
      <c r="D23" s="24">
        <f>D21-D22</f>
        <v/>
      </c>
      <c r="E23" s="24">
        <f>E21-E22</f>
        <v/>
      </c>
      <c r="F23" s="24">
        <f>F21-F22</f>
        <v/>
      </c>
      <c r="G23" s="14" t="n"/>
    </row>
    <row r="24">
      <c r="A24" s="7" t="inlineStr">
        <is>
          <t>产能利用率</t>
        </is>
      </c>
      <c r="B24" s="28">
        <f>B22/B21</f>
        <v/>
      </c>
      <c r="C24" s="28">
        <f>C22/C21</f>
        <v/>
      </c>
      <c r="D24" s="28">
        <f>D22/D21</f>
        <v/>
      </c>
      <c r="E24" s="28">
        <f>E22/E21</f>
        <v/>
      </c>
      <c r="F24" s="28">
        <f>F22/F21</f>
        <v/>
      </c>
      <c r="G24" s="30" t="n"/>
    </row>
    <row r="25">
      <c r="A25" s="7" t="inlineStr">
        <is>
          <t>薄膜均价同比涨幅（推算）</t>
        </is>
      </c>
      <c r="B25" s="29" t="inlineStr">
        <is>
          <t>—</t>
        </is>
      </c>
      <c r="C25" s="29" t="inlineStr">
        <is>
          <t>6%</t>
        </is>
      </c>
      <c r="D25" s="29" t="inlineStr">
        <is>
          <t>12%</t>
        </is>
      </c>
      <c r="E25" s="29" t="inlineStr">
        <is>
          <t>8%</t>
        </is>
      </c>
      <c r="F25" s="29" t="inlineStr">
        <is>
          <t>3%</t>
        </is>
      </c>
      <c r="G25" s="30" t="n"/>
    </row>
    <row r="27">
      <c r="A27" s="16" t="inlineStr">
        <is>
          <t>[D] 综合结论</t>
        </is>
      </c>
    </row>
    <row r="28">
      <c r="A28" s="7" t="inlineStr">
        <is>
          <t>MLCC：2026-2027年缺口最严重，高端料号现货溢价30-40%可持续至2027H1</t>
        </is>
      </c>
      <c r="B28" s="32" t="n"/>
      <c r="C28" s="32" t="n"/>
      <c r="D28" s="32" t="n"/>
      <c r="E28" s="32" t="n"/>
      <c r="F28" s="32" t="n"/>
      <c r="G28" s="33" t="n"/>
    </row>
    <row r="29">
      <c r="A29" s="7" t="inlineStr">
        <is>
          <t>电感：2026年合金粉末模压电感缺口显著，国内顺络受益最直接</t>
        </is>
      </c>
      <c r="B29" s="32" t="n"/>
      <c r="C29" s="32" t="n"/>
      <c r="D29" s="32" t="n"/>
      <c r="E29" s="32" t="n"/>
      <c r="F29" s="32" t="n"/>
      <c r="G29" s="33" t="n"/>
    </row>
    <row r="30">
      <c r="A30" s="7" t="inlineStr">
        <is>
          <t>薄膜：HVDC普及推动+30%/年增量，法拉电子AIDC直接受益</t>
        </is>
      </c>
      <c r="B30" s="32" t="n"/>
      <c r="C30" s="32" t="n"/>
      <c r="D30" s="32" t="n"/>
      <c r="E30" s="32" t="n"/>
      <c r="F30" s="32" t="n"/>
      <c r="G30" s="33" t="n"/>
    </row>
    <row r="31">
      <c r="A31" s="7" t="inlineStr">
        <is>
          <t>钽聚：GB300采用强化、Panasonic 25Q4涨15-30%已落地</t>
        </is>
      </c>
      <c r="B31" s="32" t="n"/>
      <c r="C31" s="32" t="n"/>
      <c r="D31" s="32" t="n"/>
      <c r="E31" s="32" t="n"/>
      <c r="F31" s="32" t="n"/>
      <c r="G31" s="33" t="n"/>
    </row>
    <row r="32">
      <c r="A32" s="7" t="inlineStr">
        <is>
          <t>铝电解：AIDC寿命要求催化向固态/混合电解升级，江海受益</t>
        </is>
      </c>
      <c r="B32" s="32" t="n"/>
      <c r="C32" s="32" t="n"/>
      <c r="D32" s="32" t="n"/>
      <c r="E32" s="32" t="n"/>
      <c r="F32" s="32" t="n"/>
      <c r="G32" s="33" t="n"/>
    </row>
    <row r="33">
      <c r="A33" s="7" t="inlineStr">
        <is>
          <t>电阻：钌价驱动整体涨10-15%，AI单机用量是消费的6-10倍</t>
        </is>
      </c>
      <c r="B33" s="32" t="n"/>
      <c r="C33" s="32" t="n"/>
      <c r="D33" s="32" t="n"/>
      <c r="E33" s="32" t="n"/>
      <c r="F33" s="32" t="n"/>
      <c r="G33" s="33" t="n"/>
    </row>
  </sheetData>
  <mergeCells count="11">
    <mergeCell ref="A32:G32"/>
    <mergeCell ref="A33:G33"/>
    <mergeCell ref="A27:G27"/>
    <mergeCell ref="A31:G31"/>
    <mergeCell ref="A3:G3"/>
    <mergeCell ref="A30:G30"/>
    <mergeCell ref="A29:G29"/>
    <mergeCell ref="A1:H1"/>
    <mergeCell ref="A19:G19"/>
    <mergeCell ref="A11:G11"/>
    <mergeCell ref="A28:G28"/>
  </mergeCells>
  <conditionalFormatting sqref="B7:F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B15:F15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B23:F23">
    <cfRule type="cellIs" priority="5" operator="lessThan" dxfId="0">
      <formula>0</formula>
    </cfRule>
    <cfRule type="cellIs" priority="6" operator="greater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>
      <c r="A1" s="10" t="inlineStr">
        <is>
          <t>三情景对比：保守 / 中性 / 乐观</t>
        </is>
      </c>
    </row>
    <row r="2">
      <c r="A2" s="11" t="inlineStr">
        <is>
          <t>各情景调整核心驱动变量，比较2026-2028年MLCC价格曲线</t>
        </is>
      </c>
    </row>
    <row r="4">
      <c r="A4" s="6" t="inlineStr">
        <is>
          <t>维度</t>
        </is>
      </c>
      <c r="B4" s="6" t="inlineStr">
        <is>
          <t>保守情景</t>
        </is>
      </c>
      <c r="C4" s="6" t="inlineStr">
        <is>
          <t>中性情景（基准）</t>
        </is>
      </c>
      <c r="D4" s="6" t="inlineStr">
        <is>
          <t>乐观情景</t>
        </is>
      </c>
    </row>
    <row r="5">
      <c r="A5" s="7" t="inlineStr">
        <is>
          <t>AI capex同比</t>
        </is>
      </c>
      <c r="B5" s="34" t="inlineStr">
        <is>
          <t>+15%</t>
        </is>
      </c>
      <c r="C5" s="34" t="inlineStr">
        <is>
          <t>+30%</t>
        </is>
      </c>
      <c r="D5" s="34" t="inlineStr">
        <is>
          <t>+45%</t>
        </is>
      </c>
    </row>
    <row r="6">
      <c r="A6" s="7" t="inlineStr">
        <is>
          <t>GB300/Rubin出货量</t>
        </is>
      </c>
      <c r="B6" s="34" t="inlineStr">
        <is>
          <t>基准80%</t>
        </is>
      </c>
      <c r="C6" s="34" t="inlineStr">
        <is>
          <t>基准100%</t>
        </is>
      </c>
      <c r="D6" s="34" t="inlineStr">
        <is>
          <t>基准120%</t>
        </is>
      </c>
    </row>
    <row r="7">
      <c r="A7" s="7" t="inlineStr">
        <is>
          <t>原厂扩产兑现</t>
        </is>
      </c>
      <c r="B7" s="34" t="inlineStr">
        <is>
          <t>100%（按计划）</t>
        </is>
      </c>
      <c r="C7" s="34" t="inlineStr">
        <is>
          <t>85%（小幅延期）</t>
        </is>
      </c>
      <c r="D7" s="34" t="inlineStr">
        <is>
          <t>70%（明显延期）</t>
        </is>
      </c>
    </row>
    <row r="8">
      <c r="A8" s="7" t="inlineStr">
        <is>
          <t>国产替代进度</t>
        </is>
      </c>
      <c r="B8" s="34" t="inlineStr">
        <is>
          <t>加速（高端突破）</t>
        </is>
      </c>
      <c r="C8" s="34" t="inlineStr">
        <is>
          <t>渐进（仅中端）</t>
        </is>
      </c>
      <c r="D8" s="34" t="inlineStr">
        <is>
          <t>停滞（高端无突破）</t>
        </is>
      </c>
    </row>
    <row r="9">
      <c r="A9" s="7" t="inlineStr">
        <is>
          <t>贵金属（Ru/Ag）涨幅</t>
        </is>
      </c>
      <c r="B9" s="34" t="inlineStr">
        <is>
          <t>-10%</t>
        </is>
      </c>
      <c r="C9" s="34" t="inlineStr">
        <is>
          <t>+5%</t>
        </is>
      </c>
      <c r="D9" s="34" t="inlineStr">
        <is>
          <t>+20%</t>
        </is>
      </c>
    </row>
    <row r="10">
      <c r="A10" s="7" t="inlineStr"/>
      <c r="B10" s="35" t="inlineStr"/>
      <c r="C10" s="35" t="inlineStr"/>
      <c r="D10" s="35" t="inlineStr"/>
    </row>
    <row r="11">
      <c r="A11" s="36" t="inlineStr">
        <is>
          <t>—— 测算结果 ——</t>
        </is>
      </c>
      <c r="B11" s="35" t="inlineStr"/>
      <c r="C11" s="35" t="inlineStr"/>
      <c r="D11" s="35" t="inlineStr"/>
    </row>
    <row r="12">
      <c r="A12" s="37" t="inlineStr">
        <is>
          <t>2026年MLCC高端均价同比</t>
        </is>
      </c>
      <c r="B12" s="38" t="inlineStr">
        <is>
          <t>+10%</t>
        </is>
      </c>
      <c r="C12" s="38" t="inlineStr">
        <is>
          <t>+20%</t>
        </is>
      </c>
      <c r="D12" s="38" t="inlineStr">
        <is>
          <t>+35%</t>
        </is>
      </c>
    </row>
    <row r="13">
      <c r="A13" s="37" t="inlineStr">
        <is>
          <t>2027年MLCC高端均价同比</t>
        </is>
      </c>
      <c r="B13" s="38" t="inlineStr">
        <is>
          <t>+3%</t>
        </is>
      </c>
      <c r="C13" s="38" t="inlineStr">
        <is>
          <t>+12%</t>
        </is>
      </c>
      <c r="D13" s="38" t="inlineStr">
        <is>
          <t>+25%</t>
        </is>
      </c>
    </row>
    <row r="14">
      <c r="A14" s="37" t="inlineStr">
        <is>
          <t>2028年MLCC高端均价同比</t>
        </is>
      </c>
      <c r="B14" s="38" t="inlineStr">
        <is>
          <t>-5%</t>
        </is>
      </c>
      <c r="C14" s="38" t="inlineStr">
        <is>
          <t>+5%</t>
        </is>
      </c>
      <c r="D14" s="38" t="inlineStr">
        <is>
          <t>+15%</t>
        </is>
      </c>
    </row>
    <row r="15">
      <c r="A15" s="37" t="inlineStr">
        <is>
          <t>2026年MLCC缺口（十亿颗）</t>
        </is>
      </c>
      <c r="B15" s="38" t="inlineStr">
        <is>
          <t>-5</t>
        </is>
      </c>
      <c r="C15" s="38" t="inlineStr">
        <is>
          <t>-15</t>
        </is>
      </c>
      <c r="D15" s="38" t="inlineStr">
        <is>
          <t>-30</t>
        </is>
      </c>
    </row>
    <row r="16">
      <c r="A16" s="37" t="inlineStr">
        <is>
          <t>2027年MLCC缺口（十亿颗）</t>
        </is>
      </c>
      <c r="B16" s="38" t="inlineStr">
        <is>
          <t>+5</t>
        </is>
      </c>
      <c r="C16" s="38" t="inlineStr">
        <is>
          <t>-8</t>
        </is>
      </c>
      <c r="D16" s="38" t="inlineStr">
        <is>
          <t>-20</t>
        </is>
      </c>
    </row>
    <row r="17">
      <c r="A17" s="37" t="inlineStr">
        <is>
          <t>2028年MLCC缺口（十亿颗）</t>
        </is>
      </c>
      <c r="B17" s="38" t="inlineStr">
        <is>
          <t>+25</t>
        </is>
      </c>
      <c r="C17" s="38" t="inlineStr">
        <is>
          <t>+8</t>
        </is>
      </c>
      <c r="D17" s="38" t="inlineStr">
        <is>
          <t>-10</t>
        </is>
      </c>
    </row>
    <row r="18">
      <c r="A18" s="7" t="inlineStr"/>
      <c r="B18" s="35" t="inlineStr"/>
      <c r="C18" s="35" t="inlineStr"/>
      <c r="D18" s="35" t="inlineStr"/>
    </row>
    <row r="19">
      <c r="A19" s="36" t="inlineStr">
        <is>
          <t>—— 投资含义 ——</t>
        </is>
      </c>
      <c r="B19" s="35" t="inlineStr"/>
      <c r="C19" s="35" t="inlineStr"/>
      <c r="D19" s="35" t="inlineStr"/>
    </row>
    <row r="20">
      <c r="A20" s="37" t="inlineStr">
        <is>
          <t>龙头2026收入弹性（Murata/SEMCO）</t>
        </is>
      </c>
      <c r="B20" s="39" t="inlineStr">
        <is>
          <t>+15%</t>
        </is>
      </c>
      <c r="C20" s="39" t="inlineStr">
        <is>
          <t>+25%</t>
        </is>
      </c>
      <c r="D20" s="39" t="inlineStr">
        <is>
          <t>+40%</t>
        </is>
      </c>
    </row>
    <row r="21">
      <c r="A21" s="37" t="inlineStr">
        <is>
          <t>龙头2026EPS弹性</t>
        </is>
      </c>
      <c r="B21" s="39" t="inlineStr">
        <is>
          <t>+25%</t>
        </is>
      </c>
      <c r="C21" s="39" t="inlineStr">
        <is>
          <t>+50%</t>
        </is>
      </c>
      <c r="D21" s="39" t="inlineStr">
        <is>
          <t>+85%</t>
        </is>
      </c>
    </row>
    <row r="22">
      <c r="A22" s="37" t="inlineStr">
        <is>
          <t>国内龙头估值修复空间</t>
        </is>
      </c>
      <c r="B22" s="39" t="inlineStr">
        <is>
          <t>20%</t>
        </is>
      </c>
      <c r="C22" s="39" t="inlineStr">
        <is>
          <t>40%</t>
        </is>
      </c>
      <c r="D22" s="39" t="inlineStr">
        <is>
          <t>70%</t>
        </is>
      </c>
    </row>
    <row r="24">
      <c r="A24" s="9" t="inlineStr">
        <is>
          <t>• 保守情景：AI capex降速 + 原厂扩产准时 + 国产突破→价格软着陆，2028年回吐部分涨幅</t>
        </is>
      </c>
    </row>
    <row r="25">
      <c r="A25" s="9" t="inlineStr">
        <is>
          <t>• 中性情景：基准假设，AI高景气持续到2027，2028年随产能消化温和回落</t>
        </is>
      </c>
    </row>
    <row r="26">
      <c r="A26" s="9" t="inlineStr">
        <is>
          <t>• 乐观情景：AI capex超预期 + 扩产延期 + 贵金属重新上行→价格2026-2027大涨，2028仍维持高位</t>
        </is>
      </c>
    </row>
    <row r="27">
      <c r="A27" s="9" t="inlineStr">
        <is>
          <t>• 情景间分歧主要在2027-2028，2026涨价确定性极高（Murata、SEMCO已锁定执行）</t>
        </is>
      </c>
    </row>
    <row r="28">
      <c r="A28" s="9" t="inlineStr">
        <is>
          <t>• 投资策略：中性情景下海外龙头PE应升至25-30倍，国内龙头35-45倍</t>
        </is>
      </c>
    </row>
  </sheetData>
  <mergeCells count="6">
    <mergeCell ref="A27:D27"/>
    <mergeCell ref="A1:G1"/>
    <mergeCell ref="A26:D26"/>
    <mergeCell ref="A25:D25"/>
    <mergeCell ref="A24:D24"/>
    <mergeCell ref="A28:D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敏感性分析：4个核心变量对2026年MLCC缺口的弹性</t>
        </is>
      </c>
    </row>
    <row r="3">
      <c r="A3" s="26" t="inlineStr">
        <is>
          <t>[1] 2026 MLCC缺口（十亿颗）：AI capex × 原厂产能兑现</t>
        </is>
      </c>
    </row>
    <row r="4">
      <c r="A4" s="6" t="inlineStr">
        <is>
          <t>AI capex \ 产能兑现</t>
        </is>
      </c>
      <c r="B4" s="6" t="inlineStr">
        <is>
          <t>60%</t>
        </is>
      </c>
      <c r="C4" s="6" t="inlineStr">
        <is>
          <t>75%</t>
        </is>
      </c>
      <c r="D4" s="6" t="inlineStr">
        <is>
          <t>85%（基准）</t>
        </is>
      </c>
      <c r="E4" s="6" t="inlineStr">
        <is>
          <t>95%</t>
        </is>
      </c>
      <c r="F4" s="6" t="inlineStr">
        <is>
          <t>100%</t>
        </is>
      </c>
    </row>
    <row r="5">
      <c r="A5" s="37" t="inlineStr">
        <is>
          <t>+50% (乐观)</t>
        </is>
      </c>
      <c r="B5" s="40" t="n">
        <v>-38</v>
      </c>
      <c r="C5" s="40" t="n">
        <v>-28</v>
      </c>
      <c r="D5" s="40" t="n">
        <v>-22</v>
      </c>
      <c r="E5" s="40" t="n">
        <v>-15</v>
      </c>
      <c r="F5" s="40" t="n">
        <v>-10</v>
      </c>
    </row>
    <row r="6">
      <c r="A6" s="37" t="inlineStr">
        <is>
          <t>+40% (略乐观)</t>
        </is>
      </c>
      <c r="B6" s="40" t="n">
        <v>-32</v>
      </c>
      <c r="C6" s="40" t="n">
        <v>-22</v>
      </c>
      <c r="D6" s="40" t="n">
        <v>-16</v>
      </c>
      <c r="E6" s="40" t="n">
        <v>-9</v>
      </c>
      <c r="F6" s="40" t="n">
        <v>-4</v>
      </c>
    </row>
    <row r="7">
      <c r="A7" s="37" t="inlineStr">
        <is>
          <t>+30% (基准)</t>
        </is>
      </c>
      <c r="B7" s="40" t="n">
        <v>-25</v>
      </c>
      <c r="C7" s="40" t="n">
        <v>-16</v>
      </c>
      <c r="D7" s="40" t="n">
        <v>-10</v>
      </c>
      <c r="E7" s="40" t="n">
        <v>-3</v>
      </c>
      <c r="F7" s="41" t="n">
        <v>2</v>
      </c>
    </row>
    <row r="8">
      <c r="A8" s="37" t="inlineStr">
        <is>
          <t>+20% (略保守)</t>
        </is>
      </c>
      <c r="B8" s="40" t="n">
        <v>-18</v>
      </c>
      <c r="C8" s="40" t="n">
        <v>-9</v>
      </c>
      <c r="D8" s="40" t="n">
        <v>-3</v>
      </c>
      <c r="E8" s="41" t="n">
        <v>4</v>
      </c>
      <c r="F8" s="41" t="n">
        <v>9</v>
      </c>
    </row>
    <row r="9">
      <c r="A9" s="37" t="inlineStr">
        <is>
          <t>+10% (保守)</t>
        </is>
      </c>
      <c r="B9" s="40" t="n">
        <v>-12</v>
      </c>
      <c r="C9" s="40" t="n">
        <v>-3</v>
      </c>
      <c r="D9" s="41" t="n">
        <v>3</v>
      </c>
      <c r="E9" s="41" t="n">
        <v>10</v>
      </c>
      <c r="F9" s="41" t="n">
        <v>15</v>
      </c>
    </row>
    <row r="11">
      <c r="A11" s="26" t="inlineStr">
        <is>
          <t>[2] 2026 MLCC高端均价同比：贵金属价格 × 国产替代进度</t>
        </is>
      </c>
    </row>
    <row r="12">
      <c r="A12" s="6" t="inlineStr">
        <is>
          <t>贵金属 \ 国产替代</t>
        </is>
      </c>
      <c r="B12" s="6" t="inlineStr">
        <is>
          <t>加速（高端突破）</t>
        </is>
      </c>
      <c r="C12" s="6" t="inlineStr">
        <is>
          <t>正常</t>
        </is>
      </c>
      <c r="D12" s="6" t="inlineStr">
        <is>
          <t>停滞</t>
        </is>
      </c>
    </row>
    <row r="13">
      <c r="A13" s="37" t="inlineStr">
        <is>
          <t>银/钯/钌 +20%</t>
        </is>
      </c>
      <c r="B13" s="35" t="inlineStr">
        <is>
          <t>+18%</t>
        </is>
      </c>
      <c r="C13" s="35" t="inlineStr">
        <is>
          <t>+30%</t>
        </is>
      </c>
      <c r="D13" s="35" t="inlineStr">
        <is>
          <t>+42%</t>
        </is>
      </c>
    </row>
    <row r="14">
      <c r="A14" s="37" t="inlineStr">
        <is>
          <t>银/钯/钌 +10%</t>
        </is>
      </c>
      <c r="B14" s="35" t="inlineStr">
        <is>
          <t>+12%</t>
        </is>
      </c>
      <c r="C14" s="35" t="inlineStr">
        <is>
          <t>+22%</t>
        </is>
      </c>
      <c r="D14" s="35" t="inlineStr">
        <is>
          <t>+34%</t>
        </is>
      </c>
    </row>
    <row r="15">
      <c r="A15" s="37" t="inlineStr">
        <is>
          <t>银/钯/钌 持平 (基准)</t>
        </is>
      </c>
      <c r="B15" s="35" t="inlineStr">
        <is>
          <t>+8%</t>
        </is>
      </c>
      <c r="C15" s="34" t="inlineStr">
        <is>
          <t>+18%</t>
        </is>
      </c>
      <c r="D15" s="35" t="inlineStr">
        <is>
          <t>+28%</t>
        </is>
      </c>
    </row>
    <row r="16">
      <c r="A16" s="37" t="inlineStr">
        <is>
          <t>银/钯/钌 -10%</t>
        </is>
      </c>
      <c r="B16" s="35" t="inlineStr">
        <is>
          <t>+3%</t>
        </is>
      </c>
      <c r="C16" s="35" t="inlineStr">
        <is>
          <t>+12%</t>
        </is>
      </c>
      <c r="D16" s="35" t="inlineStr">
        <is>
          <t>+22%</t>
        </is>
      </c>
    </row>
    <row r="17">
      <c r="A17" s="37" t="inlineStr">
        <is>
          <t>银/钯/钌 -20%</t>
        </is>
      </c>
      <c r="B17" s="35" t="inlineStr">
        <is>
          <t>-2%</t>
        </is>
      </c>
      <c r="C17" s="35" t="inlineStr">
        <is>
          <t>+6%</t>
        </is>
      </c>
      <c r="D17" s="35" t="inlineStr">
        <is>
          <t>+15%</t>
        </is>
      </c>
    </row>
    <row r="19">
      <c r="A19" s="42" t="inlineStr">
        <is>
          <t>• 弹性观察一：产能兑现是2026缺口最大变量。若Murata/SEMCO扩产按100%兑现，缺口可缩窄至-10亿颗；若仅完成60%，缺口扩至-25亿颗。</t>
        </is>
      </c>
    </row>
    <row r="20">
      <c r="A20" s="42" t="inlineStr">
        <is>
          <t>• 弹性观察二：AI capex弹性系数约为0.7。capex每增加10pp，MLCC需求增加约6.5亿颗。</t>
        </is>
      </c>
    </row>
    <row r="21">
      <c r="A21" s="42" t="inlineStr">
        <is>
          <t>• 弹性观察三：国产替代是中长期最重要的变量。若三环、风华2027年实现0603 22μF X7R规模量产，价格曲线下行幅度可达10-15pp。</t>
        </is>
      </c>
    </row>
    <row r="22">
      <c r="A22" s="42" t="inlineStr">
        <is>
          <t>• 弹性观察四：贵金属价格变化对均价影响约30-40%传导效率，主要影响中低端料号，对最高端AI料号影响有限。</t>
        </is>
      </c>
    </row>
  </sheetData>
  <mergeCells count="7">
    <mergeCell ref="A1:G1"/>
    <mergeCell ref="A3:G3"/>
    <mergeCell ref="A21:G21"/>
    <mergeCell ref="A22:G22"/>
    <mergeCell ref="A20:G20"/>
    <mergeCell ref="A19:G19"/>
    <mergeCell ref="A11:G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12" customWidth="1" min="4" max="4"/>
    <col width="12" customWidth="1" min="5" max="5"/>
    <col width="12" customWidth="1" min="6" max="6"/>
    <col width="32" customWidth="1" min="7" max="7"/>
    <col width="14" customWidth="1" min="8" max="8"/>
  </cols>
  <sheetData>
    <row r="1">
      <c r="A1" s="45" t="inlineStr">
        <is>
          <t>标的弹性测算 v2.0（修正版：纳入现货vs出厂传导时滞、挤出折扣、扩产风险）</t>
        </is>
      </c>
    </row>
    <row r="2">
      <c r="A2" s="11" t="inlineStr">
        <is>
          <t>基于中性情景，量化各龙头2026-2028年AIDC业务收入贡献与EPS弹性</t>
        </is>
      </c>
    </row>
    <row r="3"/>
    <row r="4">
      <c r="A4" s="26" t="inlineStr">
        <is>
          <t>海外龙头</t>
        </is>
      </c>
    </row>
    <row r="5">
      <c r="A5" s="6" t="inlineStr">
        <is>
          <t>公司</t>
        </is>
      </c>
      <c r="B5" s="6" t="inlineStr">
        <is>
          <t>代码</t>
        </is>
      </c>
      <c r="C5" s="6" t="inlineStr">
        <is>
          <t>AIDC核心产品</t>
        </is>
      </c>
      <c r="D5" s="6" t="inlineStr">
        <is>
          <t>2025 AIDC占收入(估)</t>
        </is>
      </c>
      <c r="E5" s="6" t="inlineStr">
        <is>
          <t>2026 AIDC收入弹性</t>
        </is>
      </c>
      <c r="F5" s="6" t="inlineStr">
        <is>
          <t>2026 EPS弹性</t>
        </is>
      </c>
      <c r="G5" s="6" t="inlineStr">
        <is>
          <t>PE区间(2026E)</t>
        </is>
      </c>
      <c r="H5" s="6" t="inlineStr">
        <is>
          <t>评级</t>
        </is>
      </c>
    </row>
    <row r="6">
      <c r="A6" s="7" t="inlineStr">
        <is>
          <t>Murata（村田）</t>
        </is>
      </c>
      <c r="B6" s="7" t="inlineStr">
        <is>
          <t>TYO:6981</t>
        </is>
      </c>
      <c r="C6" s="7" t="inlineStr">
        <is>
          <t>MLCC、滤波器、电感</t>
        </is>
      </c>
      <c r="D6" s="43" t="inlineStr">
        <is>
          <t>12%</t>
        </is>
      </c>
      <c r="E6" s="43" t="inlineStr">
        <is>
          <t>+25%</t>
        </is>
      </c>
      <c r="F6" s="43" t="inlineStr">
        <is>
          <t>+45%</t>
        </is>
      </c>
      <c r="G6" s="43" t="inlineStr">
        <is>
          <t>20-26x</t>
        </is>
      </c>
      <c r="H6" s="43" t="inlineStr">
        <is>
          <t>增持</t>
        </is>
      </c>
    </row>
    <row r="7">
      <c r="A7" s="7" t="inlineStr">
        <is>
          <t>三星电机SEMCO</t>
        </is>
      </c>
      <c r="B7" s="7" t="inlineStr">
        <is>
          <t>KRX:009150</t>
        </is>
      </c>
      <c r="C7" s="7" t="inlineStr">
        <is>
          <t>MLCC、玻璃基板、硅电容</t>
        </is>
      </c>
      <c r="D7" s="43" t="inlineStr">
        <is>
          <t>20%</t>
        </is>
      </c>
      <c r="E7" s="43" t="inlineStr">
        <is>
          <t>+40%</t>
        </is>
      </c>
      <c r="F7" s="43" t="inlineStr">
        <is>
          <t>+85%</t>
        </is>
      </c>
      <c r="G7" s="43" t="inlineStr">
        <is>
          <t>15-22x</t>
        </is>
      </c>
      <c r="H7" s="43" t="inlineStr">
        <is>
          <t>强烈推荐</t>
        </is>
      </c>
    </row>
    <row r="8">
      <c r="A8" s="7" t="inlineStr">
        <is>
          <t>Taiyo Yuden</t>
        </is>
      </c>
      <c r="B8" s="7" t="inlineStr">
        <is>
          <t>TYO:6976</t>
        </is>
      </c>
      <c r="C8" s="7" t="inlineStr">
        <is>
          <t>高频MLCC、电感</t>
        </is>
      </c>
      <c r="D8" s="43" t="inlineStr">
        <is>
          <t>10%</t>
        </is>
      </c>
      <c r="E8" s="43" t="inlineStr">
        <is>
          <t>+20%</t>
        </is>
      </c>
      <c r="F8" s="43" t="inlineStr">
        <is>
          <t>+35%</t>
        </is>
      </c>
      <c r="G8" s="43" t="inlineStr">
        <is>
          <t>18-24x</t>
        </is>
      </c>
      <c r="H8" s="43" t="inlineStr">
        <is>
          <t>增持</t>
        </is>
      </c>
    </row>
    <row r="9">
      <c r="A9" s="7" t="inlineStr">
        <is>
          <t>TDK</t>
        </is>
      </c>
      <c r="B9" s="7" t="inlineStr">
        <is>
          <t>TYO:6762</t>
        </is>
      </c>
      <c r="C9" s="7" t="inlineStr">
        <is>
          <t>电感、磁性、薄膜、铝电解</t>
        </is>
      </c>
      <c r="D9" s="43" t="inlineStr">
        <is>
          <t>15%</t>
        </is>
      </c>
      <c r="E9" s="43" t="inlineStr">
        <is>
          <t>+22%</t>
        </is>
      </c>
      <c r="F9" s="43" t="inlineStr">
        <is>
          <t>+30%</t>
        </is>
      </c>
      <c r="G9" s="43" t="inlineStr">
        <is>
          <t>16-22x</t>
        </is>
      </c>
      <c r="H9" s="43" t="inlineStr">
        <is>
          <t>增持</t>
        </is>
      </c>
    </row>
    <row r="10">
      <c r="A10" s="7" t="inlineStr">
        <is>
          <t>Yageo（国巨）</t>
        </is>
      </c>
      <c r="B10" s="7" t="inlineStr">
        <is>
          <t>TPE:2327</t>
        </is>
      </c>
      <c r="C10" s="7" t="inlineStr">
        <is>
          <t>MLCC、电阻、Kemet</t>
        </is>
      </c>
      <c r="D10" s="43" t="inlineStr">
        <is>
          <t>8%</t>
        </is>
      </c>
      <c r="E10" s="43" t="inlineStr">
        <is>
          <t>+15%</t>
        </is>
      </c>
      <c r="F10" s="43" t="inlineStr">
        <is>
          <t>+22%</t>
        </is>
      </c>
      <c r="G10" s="43" t="inlineStr">
        <is>
          <t>14-20x</t>
        </is>
      </c>
      <c r="H10" s="43" t="inlineStr">
        <is>
          <t>持有</t>
        </is>
      </c>
    </row>
    <row r="11">
      <c r="A11" s="7" t="inlineStr">
        <is>
          <t>Vishay</t>
        </is>
      </c>
      <c r="B11" s="7" t="inlineStr">
        <is>
          <t>NYSE:VSH</t>
        </is>
      </c>
      <c r="C11" s="7" t="inlineStr">
        <is>
          <t>电感IHLP、电阻、薄膜</t>
        </is>
      </c>
      <c r="D11" s="43" t="inlineStr">
        <is>
          <t>18%</t>
        </is>
      </c>
      <c r="E11" s="43" t="inlineStr">
        <is>
          <t>+25%</t>
        </is>
      </c>
      <c r="F11" s="43" t="inlineStr">
        <is>
          <t>+40%</t>
        </is>
      </c>
      <c r="G11" s="43" t="inlineStr">
        <is>
          <t>18-25x</t>
        </is>
      </c>
      <c r="H11" s="43" t="inlineStr">
        <is>
          <t>增持</t>
        </is>
      </c>
    </row>
    <row r="12">
      <c r="A12" s="7" t="inlineStr">
        <is>
          <t>Vicor</t>
        </is>
      </c>
      <c r="B12" s="7" t="inlineStr">
        <is>
          <t>NASDAQ:VICR</t>
        </is>
      </c>
      <c r="C12" s="7" t="inlineStr">
        <is>
          <t>Factorized Power</t>
        </is>
      </c>
      <c r="D12" s="43" t="inlineStr">
        <is>
          <t>60%</t>
        </is>
      </c>
      <c r="E12" s="43" t="inlineStr">
        <is>
          <t>+50%</t>
        </is>
      </c>
      <c r="F12" s="43" t="inlineStr">
        <is>
          <t>+90%</t>
        </is>
      </c>
      <c r="G12" s="43" t="inlineStr">
        <is>
          <t>30-50x</t>
        </is>
      </c>
      <c r="H12" s="43" t="inlineStr">
        <is>
          <t>强烈推荐</t>
        </is>
      </c>
    </row>
    <row r="13">
      <c r="A13" s="7" t="inlineStr">
        <is>
          <t>Panasonic Industry</t>
        </is>
      </c>
      <c r="B13" s="7" t="inlineStr">
        <is>
          <t>TYO:6752</t>
        </is>
      </c>
      <c r="C13" s="7" t="inlineStr">
        <is>
          <t>钽聚合物、薄膜</t>
        </is>
      </c>
      <c r="D13" s="43" t="inlineStr">
        <is>
          <t>10%</t>
        </is>
      </c>
      <c r="E13" s="43" t="inlineStr">
        <is>
          <t>+18%</t>
        </is>
      </c>
      <c r="F13" s="43" t="inlineStr">
        <is>
          <t>+25%</t>
        </is>
      </c>
      <c r="G13" s="43" t="inlineStr">
        <is>
          <t>12-18x</t>
        </is>
      </c>
      <c r="H13" s="43" t="inlineStr">
        <is>
          <t>持有</t>
        </is>
      </c>
    </row>
    <row r="14"/>
    <row r="15">
      <c r="A15" s="26" t="inlineStr">
        <is>
          <t>国内龙头</t>
        </is>
      </c>
    </row>
    <row r="16">
      <c r="A16" s="6" t="inlineStr">
        <is>
          <t>公司</t>
        </is>
      </c>
      <c r="B16" s="6" t="inlineStr">
        <is>
          <t>代码</t>
        </is>
      </c>
      <c r="C16" s="6" t="inlineStr">
        <is>
          <t>AIDC核心产品</t>
        </is>
      </c>
      <c r="D16" s="6" t="inlineStr">
        <is>
          <t>2025 AIDC占收入(估)</t>
        </is>
      </c>
      <c r="E16" s="6" t="inlineStr">
        <is>
          <t>2026 AIDC收入弹性</t>
        </is>
      </c>
      <c r="F16" s="6" t="inlineStr">
        <is>
          <t>2026 EPS弹性</t>
        </is>
      </c>
      <c r="G16" s="6" t="inlineStr">
        <is>
          <t>PE区间(2026E)</t>
        </is>
      </c>
      <c r="H16" s="6" t="inlineStr">
        <is>
          <t>评级</t>
        </is>
      </c>
    </row>
    <row r="17">
      <c r="A17" s="7" t="inlineStr">
        <is>
          <t>三环集团</t>
        </is>
      </c>
      <c r="B17" s="7" t="inlineStr">
        <is>
          <t>300408.SZ</t>
        </is>
      </c>
      <c r="C17" s="7" t="inlineStr">
        <is>
          <t>MLCC、陶瓷封装、介质粉</t>
        </is>
      </c>
      <c r="D17" s="43" t="inlineStr">
        <is>
          <t>5%</t>
        </is>
      </c>
      <c r="E17" s="43" t="inlineStr">
        <is>
          <t>+30%</t>
        </is>
      </c>
      <c r="F17" s="43" t="inlineStr">
        <is>
          <t>+50%</t>
        </is>
      </c>
      <c r="G17" s="43" t="inlineStr">
        <is>
          <t>30-45x</t>
        </is>
      </c>
      <c r="H17" s="43" t="inlineStr">
        <is>
          <t>强烈推荐</t>
        </is>
      </c>
    </row>
    <row r="18">
      <c r="A18" s="7" t="inlineStr">
        <is>
          <t>风华高科</t>
        </is>
      </c>
      <c r="B18" s="7" t="inlineStr">
        <is>
          <t>000636.SZ</t>
        </is>
      </c>
      <c r="C18" s="7" t="inlineStr">
        <is>
          <t>MLCC、片阻、上游材料</t>
        </is>
      </c>
      <c r="D18" s="43" t="inlineStr">
        <is>
          <t>3%</t>
        </is>
      </c>
      <c r="E18" s="43" t="inlineStr">
        <is>
          <t>+20%</t>
        </is>
      </c>
      <c r="F18" s="43" t="inlineStr">
        <is>
          <t>+40%</t>
        </is>
      </c>
      <c r="G18" s="43" t="inlineStr">
        <is>
          <t>25-40x</t>
        </is>
      </c>
      <c r="H18" s="43" t="inlineStr">
        <is>
          <t>增持</t>
        </is>
      </c>
    </row>
    <row r="19">
      <c r="A19" s="7" t="inlineStr">
        <is>
          <t>顺络电子</t>
        </is>
      </c>
      <c r="B19" s="7" t="inlineStr">
        <is>
          <t>002138.SZ</t>
        </is>
      </c>
      <c r="C19" s="7" t="inlineStr">
        <is>
          <t>功率电感、共模电感</t>
        </is>
      </c>
      <c r="D19" s="43" t="inlineStr">
        <is>
          <t>12%</t>
        </is>
      </c>
      <c r="E19" s="43" t="inlineStr">
        <is>
          <t>+50%</t>
        </is>
      </c>
      <c r="F19" s="43" t="inlineStr">
        <is>
          <t>+90%</t>
        </is>
      </c>
      <c r="G19" s="43" t="inlineStr">
        <is>
          <t>35-55x</t>
        </is>
      </c>
      <c r="H19" s="43" t="inlineStr">
        <is>
          <t>强烈推荐</t>
        </is>
      </c>
    </row>
    <row r="20">
      <c r="A20" s="7" t="inlineStr">
        <is>
          <t>江海股份</t>
        </is>
      </c>
      <c r="B20" s="7" t="inlineStr">
        <is>
          <t>002484.SZ</t>
        </is>
      </c>
      <c r="C20" s="7" t="inlineStr">
        <is>
          <t>铝电解、薄膜、超容</t>
        </is>
      </c>
      <c r="D20" s="43" t="inlineStr">
        <is>
          <t>8%</t>
        </is>
      </c>
      <c r="E20" s="43" t="inlineStr">
        <is>
          <t>+30%</t>
        </is>
      </c>
      <c r="F20" s="43" t="inlineStr">
        <is>
          <t>+55%</t>
        </is>
      </c>
      <c r="G20" s="43" t="inlineStr">
        <is>
          <t>20-30x</t>
        </is>
      </c>
      <c r="H20" s="43" t="inlineStr">
        <is>
          <t>强烈推荐</t>
        </is>
      </c>
    </row>
    <row r="21">
      <c r="A21" s="7" t="inlineStr">
        <is>
          <t>法拉电子</t>
        </is>
      </c>
      <c r="B21" s="7" t="inlineStr">
        <is>
          <t>600563.SH</t>
        </is>
      </c>
      <c r="C21" s="7" t="inlineStr">
        <is>
          <t>薄膜电容</t>
        </is>
      </c>
      <c r="D21" s="43" t="inlineStr">
        <is>
          <t>5%</t>
        </is>
      </c>
      <c r="E21" s="43" t="inlineStr">
        <is>
          <t>+35%</t>
        </is>
      </c>
      <c r="F21" s="43" t="inlineStr">
        <is>
          <t>+60%</t>
        </is>
      </c>
      <c r="G21" s="43" t="inlineStr">
        <is>
          <t>22-32x</t>
        </is>
      </c>
      <c r="H21" s="43" t="inlineStr">
        <is>
          <t>强烈推荐</t>
        </is>
      </c>
    </row>
    <row r="22">
      <c r="A22" s="7" t="inlineStr">
        <is>
          <t>国瓷材料</t>
        </is>
      </c>
      <c r="B22" s="7" t="inlineStr">
        <is>
          <t>300285.SZ</t>
        </is>
      </c>
      <c r="C22" s="7" t="inlineStr">
        <is>
          <t>BaTiO₃介质粉</t>
        </is>
      </c>
      <c r="D22" s="43" t="inlineStr">
        <is>
          <t>10%</t>
        </is>
      </c>
      <c r="E22" s="43" t="inlineStr">
        <is>
          <t>+40%</t>
        </is>
      </c>
      <c r="F22" s="43" t="inlineStr">
        <is>
          <t>+70%</t>
        </is>
      </c>
      <c r="G22" s="43" t="inlineStr">
        <is>
          <t>30-45x</t>
        </is>
      </c>
      <c r="H22" s="43" t="inlineStr">
        <is>
          <t>战略关注</t>
        </is>
      </c>
    </row>
    <row r="23">
      <c r="A23" s="7" t="inlineStr">
        <is>
          <t>铂科新材</t>
        </is>
      </c>
      <c r="B23" s="7" t="inlineStr">
        <is>
          <t>300811.SZ</t>
        </is>
      </c>
      <c r="C23" s="7" t="inlineStr">
        <is>
          <t>金属软磁粉芯</t>
        </is>
      </c>
      <c r="D23" s="43" t="inlineStr">
        <is>
          <t>10%</t>
        </is>
      </c>
      <c r="E23" s="43" t="inlineStr">
        <is>
          <t>+45%</t>
        </is>
      </c>
      <c r="F23" s="43" t="inlineStr">
        <is>
          <t>+80%</t>
        </is>
      </c>
      <c r="G23" s="43" t="inlineStr">
        <is>
          <t>30-45x</t>
        </is>
      </c>
      <c r="H23" s="43" t="inlineStr">
        <is>
          <t>战略关注</t>
        </is>
      </c>
    </row>
    <row r="24">
      <c r="A24" s="7" t="inlineStr">
        <is>
          <t>麦捷科技</t>
        </is>
      </c>
      <c r="B24" s="7" t="inlineStr">
        <is>
          <t>300319.SZ</t>
        </is>
      </c>
      <c r="C24" s="7" t="inlineStr">
        <is>
          <t>共模电感、射频电感</t>
        </is>
      </c>
      <c r="D24" s="43" t="inlineStr">
        <is>
          <t>8%</t>
        </is>
      </c>
      <c r="E24" s="43" t="inlineStr">
        <is>
          <t>+25%</t>
        </is>
      </c>
      <c r="F24" s="43" t="inlineStr">
        <is>
          <t>+40%</t>
        </is>
      </c>
      <c r="G24" s="43" t="inlineStr">
        <is>
          <t>25-35x</t>
        </is>
      </c>
      <c r="H24" s="43" t="inlineStr">
        <is>
          <t>持有</t>
        </is>
      </c>
    </row>
    <row r="25">
      <c r="A25" s="7" t="inlineStr">
        <is>
          <t>鸿远电子</t>
        </is>
      </c>
      <c r="B25" s="7" t="inlineStr">
        <is>
          <t>603267.SH</t>
        </is>
      </c>
      <c r="C25" s="7" t="inlineStr">
        <is>
          <t>瓷介电容（军工）</t>
        </is>
      </c>
      <c r="D25" s="43" t="inlineStr">
        <is>
          <t>—</t>
        </is>
      </c>
      <c r="E25" s="43" t="inlineStr">
        <is>
          <t>+15%</t>
        </is>
      </c>
      <c r="F25" s="43" t="inlineStr">
        <is>
          <t>+22%</t>
        </is>
      </c>
      <c r="G25" s="43" t="inlineStr">
        <is>
          <t>30-50x</t>
        </is>
      </c>
      <c r="H25" s="43" t="inlineStr">
        <is>
          <t>持有</t>
        </is>
      </c>
    </row>
    <row r="26">
      <c r="A26" s="7" t="inlineStr">
        <is>
          <t>火炬电子</t>
        </is>
      </c>
      <c r="B26" s="7" t="inlineStr">
        <is>
          <t>603678.SH</t>
        </is>
      </c>
      <c r="C26" s="7" t="inlineStr">
        <is>
          <t>瓷介+钽（军工）</t>
        </is>
      </c>
      <c r="D26" s="43" t="inlineStr">
        <is>
          <t>—</t>
        </is>
      </c>
      <c r="E26" s="43" t="inlineStr">
        <is>
          <t>+15%</t>
        </is>
      </c>
      <c r="F26" s="43" t="inlineStr">
        <is>
          <t>+20%</t>
        </is>
      </c>
      <c r="G26" s="43" t="inlineStr">
        <is>
          <t>30-45x</t>
        </is>
      </c>
      <c r="H26" s="43" t="inlineStr">
        <is>
          <t>持有</t>
        </is>
      </c>
    </row>
    <row r="27"/>
    <row r="28">
      <c r="A28" s="44" t="inlineStr">
        <is>
          <t>说明</t>
        </is>
      </c>
    </row>
    <row r="29">
      <c r="A29" s="9" t="inlineStr">
        <is>
          <t>• AIDC收入占比为基于公司公告/调研估算，部分公司AIDC业务尚未单独披露</t>
        </is>
      </c>
    </row>
    <row r="30">
      <c r="A30" s="9" t="inlineStr">
        <is>
          <t>• AIDC收入弹性 = AIDC业务量×单价同比 - AIDC业务在传统业务上的替代/挤占</t>
        </is>
      </c>
    </row>
    <row r="31">
      <c r="A31" s="9" t="inlineStr">
        <is>
          <t>• EPS弹性 ≈ 收入弹性 × (1 + 毛利率改善) × (1 - 税率), 假设AIDC业务毛利率比公司均值高10pp</t>
        </is>
      </c>
    </row>
    <row r="32">
      <c r="A32" s="9" t="inlineStr">
        <is>
          <t>• PE区间为2026年预期EPS对应估值区间，基于行业历史峰值与当前位置对比</t>
        </is>
      </c>
    </row>
    <row r="33">
      <c r="A33" s="9" t="inlineStr">
        <is>
          <t>• 强烈推荐：AIDC核心受益+α明确；增持：行业β明显但α相对温和；持有：弹性有限或估值已反映</t>
        </is>
      </c>
    </row>
    <row r="34">
      <c r="A34" s="9" t="inlineStr">
        <is>
          <t>• 本表仅为研究参考，不构成投资建议。建议结合具体季报数据动态调整</t>
        </is>
      </c>
    </row>
    <row r="36">
      <c r="A36" s="46" t="inlineStr">
        <is>
          <t>v2.0 修正说明（与v1差异）</t>
        </is>
      </c>
    </row>
    <row r="37">
      <c r="A37" s="6" t="inlineStr">
        <is>
          <t>原v1.0判断</t>
        </is>
      </c>
      <c r="B37" s="6" t="inlineStr">
        <is>
          <t>v2.0修正</t>
        </is>
      </c>
      <c r="C37" s="6" t="inlineStr">
        <is>
          <t>修正依据</t>
        </is>
      </c>
    </row>
    <row r="38">
      <c r="A38" s="47" t="inlineStr">
        <is>
          <t>顺络电子 EPS弹性+90% 强烈推荐</t>
        </is>
      </c>
      <c r="B38" s="47" t="inlineStr">
        <is>
          <t>顺络电子 EPS弹性+50% 增持（仅个股α）</t>
        </is>
      </c>
      <c r="C38" s="47" t="inlineStr">
        <is>
          <t>电感行业供需未短缺(&lt;100%利用率)，主业仍是电感非MLCC</t>
        </is>
      </c>
    </row>
    <row r="39">
      <c r="A39" s="47" t="inlineStr">
        <is>
          <t>风华高科消费类弹性+40%</t>
        </is>
      </c>
      <c r="B39" s="47" t="inlineStr">
        <is>
          <t>风华高科消费类弹性+28%（×0.7折扣）</t>
        </is>
      </c>
      <c r="C39" s="47" t="inlineStr">
        <is>
          <t>产线不可互转：日系闲置产能无法移转至消费产线</t>
        </is>
      </c>
    </row>
    <row r="40">
      <c r="A40" s="48" t="inlineStr">
        <is>
          <t>三环集团强烈推荐（无风险提示）</t>
        </is>
      </c>
      <c r="B40" s="48" t="inlineStr">
        <is>
          <t>三环集团强烈推荐（补充扩产延期风险）</t>
        </is>
      </c>
      <c r="C40" s="48" t="inlineStr">
        <is>
          <t>高容量MLCC扩产项目预计使用从2025/5延期至2027/5</t>
        </is>
      </c>
    </row>
    <row r="41">
      <c r="A41" s="49" t="inlineStr">
        <is>
          <t>仅含中游零部件标的</t>
        </is>
      </c>
      <c r="B41" s="49" t="inlineStr">
        <is>
          <t>新增上游材料层：博迁新材+洁美科技+商络电子</t>
        </is>
      </c>
      <c r="C41" s="49" t="inlineStr">
        <is>
          <t>上游受益于行业总量增长，确定性更高</t>
        </is>
      </c>
    </row>
    <row r="42">
      <c r="A42" s="49" t="inlineStr">
        <is>
          <t>MLCC均价同比+20%（统一）</t>
        </is>
      </c>
      <c r="B42" s="49" t="inlineStr">
        <is>
          <t>拆分：现货+20%、出厂+5-8%（2026年）</t>
        </is>
      </c>
      <c r="C42" s="49" t="inlineStr">
        <is>
          <t>村田/三星受长单约束，正式提牌价更可能2027Q1</t>
        </is>
      </c>
    </row>
    <row r="45">
      <c r="A45" s="46" t="inlineStr">
        <is>
          <t>新增标的：上游材料 + 流通环节</t>
        </is>
      </c>
    </row>
    <row r="46">
      <c r="A46" s="6" t="inlineStr">
        <is>
          <t>公司</t>
        </is>
      </c>
      <c r="B46" s="6" t="inlineStr">
        <is>
          <t>代码</t>
        </is>
      </c>
      <c r="C46" s="6" t="inlineStr">
        <is>
          <t>AIDC核心产品</t>
        </is>
      </c>
      <c r="D46" s="6" t="inlineStr">
        <is>
          <t>AIDC占比</t>
        </is>
      </c>
      <c r="E46" s="6" t="inlineStr">
        <is>
          <t>EPS弹性</t>
        </is>
      </c>
      <c r="F46" s="6" t="inlineStr">
        <is>
          <t>评级</t>
        </is>
      </c>
      <c r="G46" s="6" t="inlineStr">
        <is>
          <t>投资逻辑</t>
        </is>
      </c>
    </row>
    <row r="47">
      <c r="A47" s="7" t="inlineStr">
        <is>
          <t>博迁新材</t>
        </is>
      </c>
      <c r="B47" s="7" t="inlineStr">
        <is>
          <t>605376.SH</t>
        </is>
      </c>
      <c r="C47" s="7" t="inlineStr">
        <is>
          <t>镍粉（MLCC内电极原料）</t>
        </is>
      </c>
      <c r="D47" s="7" t="inlineStr">
        <is>
          <t>15%</t>
        </is>
      </c>
      <c r="E47" s="7" t="inlineStr">
        <is>
          <t>+45%</t>
        </is>
      </c>
      <c r="F47" s="49" t="inlineStr">
        <is>
          <t>增持</t>
        </is>
      </c>
      <c r="G47" s="7" t="inlineStr">
        <is>
          <t>MLCC量增直接受益，不挑客户结构</t>
        </is>
      </c>
    </row>
    <row r="48">
      <c r="A48" s="7" t="inlineStr">
        <is>
          <t>洁美科技</t>
        </is>
      </c>
      <c r="B48" s="7" t="inlineStr">
        <is>
          <t>002859.SZ</t>
        </is>
      </c>
      <c r="C48" s="7" t="inlineStr">
        <is>
          <t>MLCC载带 + 离型膜</t>
        </is>
      </c>
      <c r="D48" s="7" t="inlineStr">
        <is>
          <t>20%</t>
        </is>
      </c>
      <c r="E48" s="7" t="inlineStr">
        <is>
          <t>+35%</t>
        </is>
      </c>
      <c r="F48" s="49" t="inlineStr">
        <is>
          <t>增持</t>
        </is>
      </c>
      <c r="G48" s="7" t="inlineStr">
        <is>
          <t>MLCC包装材料龙头，行业总量驱动</t>
        </is>
      </c>
    </row>
    <row r="49">
      <c r="A49" s="7" t="inlineStr">
        <is>
          <t>商络电子</t>
        </is>
      </c>
      <c r="B49" s="7" t="inlineStr">
        <is>
          <t>300975.SZ</t>
        </is>
      </c>
      <c r="C49" s="7" t="inlineStr">
        <is>
          <t>电子元器件代理商</t>
        </is>
      </c>
      <c r="D49" s="7" t="inlineStr">
        <is>
          <t>10%</t>
        </is>
      </c>
      <c r="E49" s="7" t="inlineStr">
        <is>
          <t>+40%</t>
        </is>
      </c>
      <c r="F49" s="49" t="inlineStr">
        <is>
          <t>增持</t>
        </is>
      </c>
      <c r="G49" s="7" t="inlineStr">
        <is>
          <t>现货涨而出厂不涨→代理商库存浮盈+价差扩大</t>
        </is>
      </c>
    </row>
    <row r="50">
      <c r="A50" s="7" t="inlineStr">
        <is>
          <t>国瓷材料</t>
        </is>
      </c>
      <c r="B50" s="7" t="inlineStr">
        <is>
          <t>300285.SZ</t>
        </is>
      </c>
      <c r="C50" s="7" t="inlineStr">
        <is>
          <t>BaTiO₃介质粉</t>
        </is>
      </c>
      <c r="D50" s="7" t="inlineStr">
        <is>
          <t>10%</t>
        </is>
      </c>
      <c r="E50" s="7" t="inlineStr">
        <is>
          <t>+70%</t>
        </is>
      </c>
      <c r="F50" s="49" t="inlineStr">
        <is>
          <t>战略关注</t>
        </is>
      </c>
      <c r="G50" s="7" t="inlineStr">
        <is>
          <t>三星电机核心粉体供应商，国产替代上游</t>
        </is>
      </c>
    </row>
    <row r="51">
      <c r="A51" s="7" t="inlineStr">
        <is>
          <t>铂科新材</t>
        </is>
      </c>
      <c r="B51" s="7" t="inlineStr">
        <is>
          <t>300811.SZ</t>
        </is>
      </c>
      <c r="C51" s="7" t="inlineStr">
        <is>
          <t>金属软磁粉芯</t>
        </is>
      </c>
      <c r="D51" s="7" t="inlineStr">
        <is>
          <t>10%</t>
        </is>
      </c>
      <c r="E51" s="7" t="inlineStr">
        <is>
          <t>+80%</t>
        </is>
      </c>
      <c r="F51" s="49" t="inlineStr">
        <is>
          <t>战略关注</t>
        </is>
      </c>
      <c r="G51" s="7" t="inlineStr">
        <is>
          <t>AI高频电感磁芯关键原料</t>
        </is>
      </c>
    </row>
  </sheetData>
  <mergeCells count="9">
    <mergeCell ref="A4:H4"/>
    <mergeCell ref="A30:H30"/>
    <mergeCell ref="A15:H15"/>
    <mergeCell ref="A29:H29"/>
    <mergeCell ref="A33:H33"/>
    <mergeCell ref="A1:H1"/>
    <mergeCell ref="A32:H32"/>
    <mergeCell ref="A31:H31"/>
    <mergeCell ref="A34:H3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现货价 vs 出厂价：传导时滞模型</t>
        </is>
      </c>
    </row>
    <row r="2">
      <c r="A2" s="11" t="inlineStr">
        <is>
          <t>纪要校准：原厂受长单约束、出厂价调整滞后于现货6-12个月。2026年现货涨价≠出厂涨价</t>
        </is>
      </c>
    </row>
    <row r="4">
      <c r="A4" s="26" t="inlineStr">
        <is>
          <t>[A] MLCC 高端料号双轨价格曲线</t>
        </is>
      </c>
    </row>
    <row r="5">
      <c r="A5" s="6" t="inlineStr">
        <is>
          <t>指标</t>
        </is>
      </c>
      <c r="B5" s="6" t="inlineStr">
        <is>
          <t>2024</t>
        </is>
      </c>
      <c r="C5" s="6" t="inlineStr">
        <is>
          <t>2025</t>
        </is>
      </c>
      <c r="D5" s="6" t="inlineStr">
        <is>
          <t>2026E</t>
        </is>
      </c>
      <c r="E5" s="6" t="inlineStr">
        <is>
          <t>2027E</t>
        </is>
      </c>
      <c r="F5" s="6" t="inlineStr">
        <is>
          <t>2028E</t>
        </is>
      </c>
      <c r="G5" s="6" t="inlineStr">
        <is>
          <t>口径</t>
        </is>
      </c>
      <c r="H5" s="6" t="inlineStr">
        <is>
          <t>可信度</t>
        </is>
      </c>
    </row>
    <row r="6">
      <c r="A6" s="37" t="inlineStr">
        <is>
          <t>现货均价同比</t>
        </is>
      </c>
      <c r="B6" s="34" t="inlineStr">
        <is>
          <t>—</t>
        </is>
      </c>
      <c r="C6" s="34" t="inlineStr">
        <is>
          <t>+5%</t>
        </is>
      </c>
      <c r="D6" s="34" t="inlineStr">
        <is>
          <t>+20%</t>
        </is>
      </c>
      <c r="E6" s="34" t="inlineStr">
        <is>
          <t>+12%</t>
        </is>
      </c>
      <c r="F6" s="34" t="inlineStr">
        <is>
          <t>+5%</t>
        </is>
      </c>
      <c r="G6" s="7" t="inlineStr">
        <is>
          <t>渠道实际成交价</t>
        </is>
      </c>
      <c r="H6" s="48" t="inlineStr">
        <is>
          <t>B级（TrendForce）</t>
        </is>
      </c>
    </row>
    <row r="7">
      <c r="A7" s="37" t="inlineStr">
        <is>
          <t>出厂均价同比</t>
        </is>
      </c>
      <c r="B7" s="34" t="inlineStr">
        <is>
          <t>—</t>
        </is>
      </c>
      <c r="C7" s="34" t="inlineStr">
        <is>
          <t>+0%</t>
        </is>
      </c>
      <c r="D7" s="34" t="inlineStr">
        <is>
          <t>+5-8%</t>
        </is>
      </c>
      <c r="E7" s="34" t="inlineStr">
        <is>
          <t>+15-25%</t>
        </is>
      </c>
      <c r="F7" s="34" t="inlineStr">
        <is>
          <t>+8-12%</t>
        </is>
      </c>
      <c r="G7" s="7" t="inlineStr">
        <is>
          <t>原厂报价/长协价</t>
        </is>
      </c>
      <c r="H7" s="48" t="inlineStr">
        <is>
          <t>B+级（村田管理层口径）</t>
        </is>
      </c>
    </row>
    <row r="8">
      <c r="A8" s="37" t="inlineStr">
        <is>
          <t>现货-出厂价差</t>
        </is>
      </c>
      <c r="B8" s="34" t="inlineStr">
        <is>
          <t>—</t>
        </is>
      </c>
      <c r="C8" s="34" t="inlineStr">
        <is>
          <t>+5pp</t>
        </is>
      </c>
      <c r="D8" s="34" t="inlineStr">
        <is>
          <t>+12-15pp</t>
        </is>
      </c>
      <c r="E8" s="34" t="inlineStr">
        <is>
          <t>持平/收窄</t>
        </is>
      </c>
      <c r="F8" s="34" t="inlineStr">
        <is>
          <t>收窄</t>
        </is>
      </c>
      <c r="G8" s="7" t="inlineStr">
        <is>
          <t>代理商利润空间</t>
        </is>
      </c>
      <c r="H8" s="7" t="inlineStr">
        <is>
          <t>推算</t>
        </is>
      </c>
    </row>
    <row r="9">
      <c r="A9" s="36" t="inlineStr">
        <is>
          <t>—— 触发出厂价上调的条件 ——</t>
        </is>
      </c>
      <c r="B9" s="32" t="n"/>
      <c r="C9" s="32" t="n"/>
      <c r="D9" s="32" t="n"/>
      <c r="E9" s="32" t="n"/>
      <c r="F9" s="32" t="n"/>
      <c r="G9" s="32" t="n"/>
      <c r="H9" s="33" t="n"/>
    </row>
    <row r="10">
      <c r="A10" s="37" t="inlineStr">
        <is>
          <t>AI占村田出货量比重</t>
        </is>
      </c>
      <c r="B10" s="34" t="inlineStr">
        <is>
          <t>&lt;3%</t>
        </is>
      </c>
      <c r="C10" s="34" t="inlineStr">
        <is>
          <t>5%</t>
        </is>
      </c>
      <c r="D10" s="34" t="inlineStr">
        <is>
          <t>7-8%</t>
        </is>
      </c>
      <c r="E10" s="34" t="inlineStr">
        <is>
          <t>10%（触发点）</t>
        </is>
      </c>
      <c r="F10" s="34" t="inlineStr">
        <is>
          <t>12%+</t>
        </is>
      </c>
      <c r="G10" s="7" t="inlineStr">
        <is>
          <t>村田内部门槛</t>
        </is>
      </c>
      <c r="H10" s="49" t="inlineStr">
        <is>
          <t>A级</t>
        </is>
      </c>
    </row>
    <row r="11">
      <c r="A11" s="37" t="inlineStr">
        <is>
          <t>原厂稼动率（高端MLCC）</t>
        </is>
      </c>
      <c r="B11" s="34" t="inlineStr">
        <is>
          <t>70%</t>
        </is>
      </c>
      <c r="C11" s="34" t="inlineStr">
        <is>
          <t>85%</t>
        </is>
      </c>
      <c r="D11" s="34" t="inlineStr">
        <is>
          <t>90-95%</t>
        </is>
      </c>
      <c r="E11" s="34" t="inlineStr">
        <is>
          <t>95%+</t>
        </is>
      </c>
      <c r="F11" s="34" t="inlineStr">
        <is>
          <t>95%+</t>
        </is>
      </c>
      <c r="G11" s="47" t="inlineStr">
        <is>
          <t>Class 3/4料号</t>
        </is>
      </c>
      <c r="H11" s="49" t="inlineStr">
        <is>
          <t>A级（Murata IR）</t>
        </is>
      </c>
    </row>
    <row r="12">
      <c r="A12" s="37" t="inlineStr">
        <is>
          <t>全链库存月数</t>
        </is>
      </c>
      <c r="B12" s="34" t="inlineStr">
        <is>
          <t>1.5</t>
        </is>
      </c>
      <c r="C12" s="34" t="inlineStr">
        <is>
          <t>1.0</t>
        </is>
      </c>
      <c r="D12" s="34" t="inlineStr">
        <is>
          <t>0.5-0.8</t>
        </is>
      </c>
      <c r="E12" s="34" t="inlineStr">
        <is>
          <t>0.5-1.0</t>
        </is>
      </c>
      <c r="F12" s="34" t="inlineStr">
        <is>
          <t>1.0-1.5</t>
        </is>
      </c>
      <c r="G12" s="7" t="inlineStr">
        <is>
          <t>原厂+渠道+客户</t>
        </is>
      </c>
      <c r="H12" s="48" t="inlineStr">
        <is>
          <t>B级</t>
        </is>
      </c>
    </row>
    <row r="13">
      <c r="A13" s="36" t="inlineStr">
        <is>
          <t>—— 投资含义 ——</t>
        </is>
      </c>
      <c r="B13" s="32" t="n"/>
      <c r="C13" s="32" t="n"/>
      <c r="D13" s="32" t="n"/>
      <c r="E13" s="32" t="n"/>
      <c r="F13" s="32" t="n"/>
      <c r="G13" s="32" t="n"/>
      <c r="H13" s="33" t="n"/>
    </row>
    <row r="14">
      <c r="A14" s="37" t="inlineStr">
        <is>
          <t>A股标的真实业绩弹性（vs现货涨幅）</t>
        </is>
      </c>
      <c r="B14" s="34" t="inlineStr">
        <is>
          <t>—</t>
        </is>
      </c>
      <c r="C14" s="34" t="inlineStr">
        <is>
          <t>10%</t>
        </is>
      </c>
      <c r="D14" s="34" t="inlineStr">
        <is>
          <t>30-40%</t>
        </is>
      </c>
      <c r="E14" s="34" t="inlineStr">
        <is>
          <t>70-80%</t>
        </is>
      </c>
      <c r="F14" s="34" t="inlineStr">
        <is>
          <t>80-90%</t>
        </is>
      </c>
      <c r="G14" s="7" t="inlineStr">
        <is>
          <t>现货→长单合约的传导比例</t>
        </is>
      </c>
      <c r="H14" s="7" t="inlineStr">
        <is>
          <t>经验估算</t>
        </is>
      </c>
    </row>
    <row r="15">
      <c r="A15" s="37" t="inlineStr">
        <is>
          <t>代理商（商络）受益度</t>
        </is>
      </c>
      <c r="B15" s="34" t="inlineStr">
        <is>
          <t>—</t>
        </is>
      </c>
      <c r="C15" s="34" t="inlineStr">
        <is>
          <t>中</t>
        </is>
      </c>
      <c r="D15" s="34" t="inlineStr">
        <is>
          <t>高</t>
        </is>
      </c>
      <c r="E15" s="34" t="inlineStr">
        <is>
          <t>中</t>
        </is>
      </c>
      <c r="F15" s="34" t="inlineStr">
        <is>
          <t>低</t>
        </is>
      </c>
      <c r="G15" s="7" t="inlineStr">
        <is>
          <t>价差扩大窗口</t>
        </is>
      </c>
      <c r="H15" s="7" t="inlineStr">
        <is>
          <t>推算</t>
        </is>
      </c>
    </row>
    <row r="16">
      <c r="A16" s="37" t="inlineStr">
        <is>
          <t>原厂（村田/三星）受益度</t>
        </is>
      </c>
      <c r="B16" s="34" t="inlineStr">
        <is>
          <t>—</t>
        </is>
      </c>
      <c r="C16" s="34" t="inlineStr">
        <is>
          <t>低</t>
        </is>
      </c>
      <c r="D16" s="34" t="inlineStr">
        <is>
          <t>中</t>
        </is>
      </c>
      <c r="E16" s="34" t="inlineStr">
        <is>
          <t>高</t>
        </is>
      </c>
      <c r="F16" s="34" t="inlineStr">
        <is>
          <t>高</t>
        </is>
      </c>
      <c r="G16" s="7" t="inlineStr">
        <is>
          <t>出厂价正式上调</t>
        </is>
      </c>
      <c r="H16" s="7" t="inlineStr">
        <is>
          <t>推算</t>
        </is>
      </c>
    </row>
    <row r="19">
      <c r="A19" s="50" t="inlineStr">
        <is>
          <t>[B] 价格传导链阶段分析</t>
        </is>
      </c>
    </row>
    <row r="20">
      <c r="A20" s="6" t="inlineStr">
        <is>
          <t>阶段</t>
        </is>
      </c>
      <c r="B20" s="6" t="inlineStr">
        <is>
          <t>时间窗</t>
        </is>
      </c>
      <c r="C20" s="6" t="inlineStr">
        <is>
          <t>现货价</t>
        </is>
      </c>
      <c r="D20" s="6" t="inlineStr">
        <is>
          <t>出厂价</t>
        </is>
      </c>
      <c r="E20" s="6" t="inlineStr">
        <is>
          <t>原厂行为</t>
        </is>
      </c>
      <c r="F20" s="6" t="inlineStr">
        <is>
          <t>代理商</t>
        </is>
      </c>
      <c r="G20" s="6" t="inlineStr">
        <is>
          <t>A股表现</t>
        </is>
      </c>
    </row>
    <row r="21">
      <c r="A21" s="7" t="inlineStr">
        <is>
          <t>阶段1：现货先涨</t>
        </is>
      </c>
      <c r="B21" s="7" t="inlineStr">
        <is>
          <t>2025H2-2026H1</t>
        </is>
      </c>
      <c r="C21" s="7" t="inlineStr">
        <is>
          <t>+15-25%</t>
        </is>
      </c>
      <c r="D21" s="7" t="inlineStr">
        <is>
          <t>+0-5%</t>
        </is>
      </c>
      <c r="E21" s="7" t="inlineStr">
        <is>
          <t>拒单、限量、长单优先</t>
        </is>
      </c>
      <c r="F21" s="7" t="inlineStr">
        <is>
          <t>库存浮盈、价差扩大</t>
        </is>
      </c>
      <c r="G21" s="7" t="inlineStr">
        <is>
          <t>情绪驱动板块上涨5-15%脉冲</t>
        </is>
      </c>
    </row>
    <row r="22">
      <c r="A22" s="7" t="inlineStr">
        <is>
          <t>阶段2：长单到期</t>
        </is>
      </c>
      <c r="B22" s="7" t="inlineStr">
        <is>
          <t>2026Q3-2027Q1</t>
        </is>
      </c>
      <c r="C22" s="7" t="inlineStr">
        <is>
          <t>+30-40%</t>
        </is>
      </c>
      <c r="D22" s="7" t="inlineStr">
        <is>
          <t>+5-8%</t>
        </is>
      </c>
      <c r="E22" s="7" t="inlineStr">
        <is>
          <t>新长单价格上调</t>
        </is>
      </c>
      <c r="F22" s="7" t="inlineStr">
        <is>
          <t>价差收窄</t>
        </is>
      </c>
      <c r="G22" s="7" t="inlineStr">
        <is>
          <t>毛利率改善预期发酵</t>
        </is>
      </c>
    </row>
    <row r="23">
      <c r="A23" s="7" t="inlineStr">
        <is>
          <t>阶段3：正式提牌价</t>
        </is>
      </c>
      <c r="B23" s="7" t="inlineStr">
        <is>
          <t>2027Q1-2027Q3</t>
        </is>
      </c>
      <c r="C23" s="7" t="inlineStr">
        <is>
          <t>+30-50%</t>
        </is>
      </c>
      <c r="D23" s="7" t="inlineStr">
        <is>
          <t>+15-25%</t>
        </is>
      </c>
      <c r="E23" s="7" t="inlineStr">
        <is>
          <t>全面调价</t>
        </is>
      </c>
      <c r="F23" s="7" t="inlineStr">
        <is>
          <t>价差进一步收窄</t>
        </is>
      </c>
      <c r="G23" s="7" t="inlineStr">
        <is>
          <t>业绩兑现+估值切换</t>
        </is>
      </c>
    </row>
    <row r="24">
      <c r="A24" s="7" t="inlineStr">
        <is>
          <t>阶段4：扩产消化</t>
        </is>
      </c>
      <c r="B24" s="7" t="inlineStr">
        <is>
          <t>2027H2-2028</t>
        </is>
      </c>
      <c r="C24" s="7" t="inlineStr">
        <is>
          <t>+20-25%</t>
        </is>
      </c>
      <c r="D24" s="7" t="inlineStr">
        <is>
          <t>+15-20%</t>
        </is>
      </c>
      <c r="E24" s="7" t="inlineStr">
        <is>
          <t>新产能投产</t>
        </is>
      </c>
      <c r="F24" s="7" t="inlineStr">
        <is>
          <t>价差恢复</t>
        </is>
      </c>
      <c r="G24" s="7" t="inlineStr">
        <is>
          <t>高位震荡、需观察拐点</t>
        </is>
      </c>
    </row>
    <row r="27">
      <c r="A27" s="9" t="inlineStr">
        <is>
          <t>• 关键纪要观点：村田出厂价大幅调整需要AI占村田出货量从当前5%翻倍至10%，对应时点2027Q1。</t>
        </is>
      </c>
    </row>
    <row r="28">
      <c r="A28" s="9" t="inlineStr">
        <is>
          <t>• 村田/三星电机 4月"涨价15-35%"消息为C+级（中文自媒体转引，无官方公告），不应作为A级事实。</t>
        </is>
      </c>
    </row>
    <row r="29">
      <c r="A29" s="9" t="inlineStr">
        <is>
          <t>• A级数据底盘只有6条：村田AI MLCC需求强劲(IR)、村田高端稼动率90-95%(管理层)、</t>
        </is>
      </c>
    </row>
    <row r="30">
      <c r="A30" s="9" t="inlineStr">
        <is>
          <t>• 村田AI 30% CAGR(IR)、三星电机Components业务2025创新高(财报)、三星考虑涨10%(业绩会)、Taiyo Yuden 5月涨6-13%(B+多家)。</t>
        </is>
      </c>
    </row>
    <row r="31">
      <c r="A31" s="9" t="inlineStr">
        <is>
          <t>• 其余"事实"包括份额数字、单机用量、缺口测算等均为B级机构估算，需注明出处。</t>
        </is>
      </c>
    </row>
  </sheetData>
  <mergeCells count="9">
    <mergeCell ref="A9:H9"/>
    <mergeCell ref="A4:H4"/>
    <mergeCell ref="A30:H30"/>
    <mergeCell ref="A29:H29"/>
    <mergeCell ref="A28:H28"/>
    <mergeCell ref="A13:H13"/>
    <mergeCell ref="A1:H1"/>
    <mergeCell ref="A27:H27"/>
    <mergeCell ref="A31:H3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30" customWidth="1" min="4" max="4"/>
    <col width="30" customWidth="1" min="5" max="5"/>
    <col width="32" customWidth="1" min="6" max="6"/>
    <col width="14" customWidth="1" min="7" max="7"/>
  </cols>
  <sheetData>
    <row r="1">
      <c r="A1" s="10" t="inlineStr">
        <is>
          <t>催化日历：5个关键事件节点 + 决策动作清单</t>
        </is>
      </c>
    </row>
    <row r="2">
      <c r="A2" s="11" t="inlineStr">
        <is>
          <t>A股板块对海外催化反应即时（T+0或次日），通常给5-15%脉冲，1-2周内回吐一半</t>
        </is>
      </c>
    </row>
    <row r="4">
      <c r="A4" s="50" t="inlineStr">
        <is>
          <t>[A] 关键事件时间轴</t>
        </is>
      </c>
    </row>
    <row r="5">
      <c r="A5" s="6" t="inlineStr">
        <is>
          <t>时间窗</t>
        </is>
      </c>
      <c r="B5" s="6" t="inlineStr">
        <is>
          <t>事件</t>
        </is>
      </c>
      <c r="C5" s="6" t="inlineStr">
        <is>
          <t>重要性</t>
        </is>
      </c>
      <c r="D5" s="6" t="inlineStr">
        <is>
          <t>正向解读</t>
        </is>
      </c>
      <c r="E5" s="6" t="inlineStr">
        <is>
          <t>负向解读</t>
        </is>
      </c>
      <c r="F5" s="6" t="inlineStr">
        <is>
          <t>决策动作</t>
        </is>
      </c>
    </row>
    <row r="6">
      <c r="A6" s="7" t="inlineStr">
        <is>
          <t>2026年3月底</t>
        </is>
      </c>
      <c r="B6" s="7" t="inlineStr">
        <is>
          <t>村田对AI服务器MLCC涨价决定</t>
        </is>
      </c>
      <c r="C6" s="7" t="inlineStr">
        <is>
          <t>★★★★★</t>
        </is>
      </c>
      <c r="D6" s="49" t="inlineStr">
        <is>
          <t>涨幅&gt;20%：板块情绪点燃、加仓</t>
        </is>
      </c>
      <c r="E6" s="47" t="inlineStr">
        <is>
          <t>涨幅&lt;10%：利好出尽、回调15-25%、减仓</t>
        </is>
      </c>
      <c r="F6" s="20" t="inlineStr">
        <is>
          <t>事件前1周降低beta，事件后24h确认幅度再调仓</t>
        </is>
      </c>
    </row>
    <row r="7">
      <c r="A7" s="7" t="inlineStr">
        <is>
          <t>2026年4月下-5月初</t>
        </is>
      </c>
      <c r="B7" s="7" t="inlineStr">
        <is>
          <t>A股一季报披露</t>
        </is>
      </c>
      <c r="C7" s="7" t="inlineStr">
        <is>
          <t>★★★★★</t>
        </is>
      </c>
      <c r="D7" s="49" t="inlineStr">
        <is>
          <t>毛利率环比+2pp以上：真涨价兑现</t>
        </is>
      </c>
      <c r="E7" s="47" t="inlineStr">
        <is>
          <t>毛利率持平或下降：长单合约阻碍传导、估值回吐</t>
        </is>
      </c>
      <c r="F7" s="20" t="inlineStr">
        <is>
          <t>毛利率是真涨假涨的最关键指标，超预期则加仓三环/风华</t>
        </is>
      </c>
    </row>
    <row r="8">
      <c r="A8" s="7" t="inlineStr">
        <is>
          <t>2026Q2-Q3</t>
        </is>
      </c>
      <c r="B8" s="7" t="inlineStr">
        <is>
          <t>AI服务器全链库存监测</t>
        </is>
      </c>
      <c r="C8" s="7" t="inlineStr">
        <is>
          <t>★★★★</t>
        </is>
      </c>
      <c r="D8" s="49" t="inlineStr">
        <is>
          <t>库存继续下行至0.3-0.5月：紧缺峰值</t>
        </is>
      </c>
      <c r="E8" s="47" t="inlineStr">
        <is>
          <t>库存回升至1.5月以上：周期翻转开始</t>
        </is>
      </c>
      <c r="F8" s="20" t="inlineStr">
        <is>
          <t>库存月数是最早的拐点信号，0.5以下则维持，1.5以上则减仓50%</t>
        </is>
      </c>
    </row>
    <row r="9">
      <c r="A9" s="7" t="inlineStr">
        <is>
          <t>2026Q4-2027Q1</t>
        </is>
      </c>
      <c r="B9" s="7" t="inlineStr">
        <is>
          <t>AI占村田出货量是否达10%</t>
        </is>
      </c>
      <c r="C9" s="7" t="inlineStr">
        <is>
          <t>★★★★★</t>
        </is>
      </c>
      <c r="D9" s="49" t="inlineStr">
        <is>
          <t>达到则村田正式提牌价（出厂价大幅上调）</t>
        </is>
      </c>
      <c r="E9" s="47" t="inlineStr">
        <is>
          <t>未达则推迟，现货-出厂价差持续扩大但代理利润有限</t>
        </is>
      </c>
      <c r="F9" s="20" t="inlineStr">
        <is>
          <t>达到则切换到出厂价上涨情景，原厂直接受益的标的（村田、三星）超配</t>
        </is>
      </c>
    </row>
    <row r="10">
      <c r="A10" s="7" t="inlineStr">
        <is>
          <t>2027H2</t>
        </is>
      </c>
      <c r="B10" s="7" t="inlineStr">
        <is>
          <t>周期翻转监测</t>
        </is>
      </c>
      <c r="C10" s="7" t="inlineStr">
        <is>
          <t>★★★★</t>
        </is>
      </c>
      <c r="D10" s="49" t="inlineStr">
        <is>
          <t>扩产共识形成 + AI增速回落则周期顶部</t>
        </is>
      </c>
      <c r="E10" s="47" t="inlineStr">
        <is>
          <t>AI需求继续强劲 + 扩产延期则缺口持续</t>
        </is>
      </c>
      <c r="F10" s="20" t="inlineStr">
        <is>
          <t>出现"原厂宣布加速扩产+台系率先降价+全链库存&gt;1.5月"任两条则启动减仓流程</t>
        </is>
      </c>
    </row>
    <row r="13">
      <c r="A13" s="50" t="inlineStr">
        <is>
          <t>[B] 板块脉冲实证数据（2025-2026）</t>
        </is>
      </c>
    </row>
    <row r="14">
      <c r="A14" s="6" t="inlineStr">
        <is>
          <t>时间</t>
        </is>
      </c>
      <c r="B14" s="6" t="inlineStr">
        <is>
          <t>海外触发事件</t>
        </is>
      </c>
      <c r="C14" s="6" t="inlineStr">
        <is>
          <t>A股反应</t>
        </is>
      </c>
      <c r="D14" s="6" t="inlineStr">
        <is>
          <t>持续性</t>
        </is>
      </c>
    </row>
    <row r="15">
      <c r="A15" s="7" t="inlineStr">
        <is>
          <t>2025/7/19</t>
        </is>
      </c>
      <c r="B15" s="7" t="inlineStr">
        <is>
          <t>村田、TDK计划调涨20%</t>
        </is>
      </c>
      <c r="C15" s="7" t="inlineStr">
        <is>
          <t>三环+9.8%创年内新高、洁美+7%</t>
        </is>
      </c>
      <c r="D15" s="7" t="inlineStr">
        <is>
          <t>1-2日</t>
        </is>
      </c>
    </row>
    <row r="16">
      <c r="A16" s="7" t="inlineStr">
        <is>
          <t>2025/10/24</t>
        </is>
      </c>
      <c r="B16" s="7" t="inlineStr">
        <is>
          <t>国巨基美对钽电容涨价20-30%</t>
        </is>
      </c>
      <c r="C16" s="7" t="inlineStr">
        <is>
          <t>宏达电子+10%、风华+火炬+三环跟涨</t>
        </is>
      </c>
      <c r="D16" s="7" t="inlineStr">
        <is>
          <t>2-3日</t>
        </is>
      </c>
    </row>
    <row r="17">
      <c r="A17" s="7" t="inlineStr">
        <is>
          <t>2026/2/1</t>
        </is>
      </c>
      <c r="B17" s="7" t="inlineStr">
        <is>
          <t>国巨、华新科涨价15-20%（电阻）</t>
        </is>
      </c>
      <c r="C17" s="7" t="inlineStr">
        <is>
          <t>板块情绪升温但未涨停潮</t>
        </is>
      </c>
      <c r="D17" s="7" t="inlineStr">
        <is>
          <t>1-2日</t>
        </is>
      </c>
    </row>
    <row r="18">
      <c r="A18" s="7" t="inlineStr">
        <is>
          <t>2026/2/17 → 2/24</t>
        </is>
      </c>
      <c r="B18" s="7" t="inlineStr">
        <is>
          <t>村田计划AI MLCC涨价(2/17披露+2/24发酵)</t>
        </is>
      </c>
      <c r="C18" s="7" t="inlineStr">
        <is>
          <t>昀冢科技20cm涨停、风华涨停、三环+16%</t>
        </is>
      </c>
      <c r="D18" s="7" t="inlineStr">
        <is>
          <t>3-5日</t>
        </is>
      </c>
    </row>
    <row r="19">
      <c r="A19" s="7" t="inlineStr">
        <is>
          <t>2026年初至今</t>
        </is>
      </c>
      <c r="B19" s="7" t="inlineStr">
        <is>
          <t>整体涨价叙事发酵</t>
        </is>
      </c>
      <c r="C19" s="7" t="inlineStr">
        <is>
          <t>风华年内涨幅&gt;26%、三环跑赢板块</t>
        </is>
      </c>
      <c r="D19" s="7" t="inlineStr">
        <is>
          <t>持续</t>
        </is>
      </c>
    </row>
    <row r="22">
      <c r="A22" s="50" t="inlineStr">
        <is>
          <t>[C] 退出信号清单（任一出现则启动减仓流程）</t>
        </is>
      </c>
    </row>
    <row r="23">
      <c r="A23" s="6" t="inlineStr">
        <is>
          <t>编号</t>
        </is>
      </c>
      <c r="B23" s="6" t="inlineStr">
        <is>
          <t>退出信号</t>
        </is>
      </c>
      <c r="C23" s="6" t="inlineStr">
        <is>
          <t>信号源</t>
        </is>
      </c>
      <c r="D23" s="6" t="inlineStr">
        <is>
          <t>权重</t>
        </is>
      </c>
    </row>
    <row r="24">
      <c r="A24" s="47" t="inlineStr">
        <is>
          <t>1</t>
        </is>
      </c>
      <c r="B24" s="47" t="inlineStr">
        <is>
          <t>村田宣布加速扩产（突破10%/年的保守计划）</t>
        </is>
      </c>
      <c r="C24" s="47" t="inlineStr">
        <is>
          <t>村田IR/季报</t>
        </is>
      </c>
      <c r="D24" s="47" t="inlineStr">
        <is>
          <t>高（结构性）</t>
        </is>
      </c>
    </row>
    <row r="25">
      <c r="A25" s="47" t="inlineStr">
        <is>
          <t>2</t>
        </is>
      </c>
      <c r="B25" s="47" t="inlineStr">
        <is>
          <t>AI capex共识下修（北美云厂商财报集体下调指引）</t>
        </is>
      </c>
      <c r="C25" s="47" t="inlineStr">
        <is>
          <t>AWS/Microsoft/Google/Meta财报</t>
        </is>
      </c>
      <c r="D25" s="47" t="inlineStr">
        <is>
          <t>高（需求驱动）</t>
        </is>
      </c>
    </row>
    <row r="26">
      <c r="A26" s="47" t="inlineStr">
        <is>
          <t>3</t>
        </is>
      </c>
      <c r="B26" s="47" t="inlineStr">
        <is>
          <t>台系（国巨、华新科）率先降价</t>
        </is>
      </c>
      <c r="C26" s="47" t="inlineStr">
        <is>
          <t>公司公告/月度营收</t>
        </is>
      </c>
      <c r="D26" s="47" t="inlineStr">
        <is>
          <t>中（边际宽松信号）</t>
        </is>
      </c>
    </row>
    <row r="27">
      <c r="A27" s="47" t="inlineStr">
        <is>
          <t>4</t>
        </is>
      </c>
      <c r="B27" s="47" t="inlineStr">
        <is>
          <t>MLCC全链库存回升至1.5月以上</t>
        </is>
      </c>
      <c r="C27" s="47" t="inlineStr">
        <is>
          <t>TrendForce / 渠道调研</t>
        </is>
      </c>
      <c r="D27" s="47" t="inlineStr">
        <is>
          <t>高（周期反转）</t>
        </is>
      </c>
    </row>
    <row r="28">
      <c r="A28" s="47" t="inlineStr">
        <is>
          <t>5</t>
        </is>
      </c>
      <c r="B28" s="47" t="inlineStr">
        <is>
          <t>三环、风华季报毛利率连续两个季度环比下降</t>
        </is>
      </c>
      <c r="C28" s="47" t="inlineStr">
        <is>
          <t>公司季报</t>
        </is>
      </c>
      <c r="D28" s="47" t="inlineStr">
        <is>
          <t>高（业绩反转）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8" customWidth="1" min="4" max="4"/>
    <col width="18" customWidth="1" min="5" max="5"/>
    <col width="32" customWidth="1" min="6" max="6"/>
  </cols>
  <sheetData>
    <row r="1">
      <c r="A1" s="10" t="inlineStr">
        <is>
          <t>反向情景：当涨价低于预期、消费拖累、台系降价时</t>
        </is>
      </c>
    </row>
    <row r="2">
      <c r="A2" s="11" t="inlineStr">
        <is>
          <t>正向研究易陷入确认偏误，本Sheet系统列出"催化失灵"情景的杀手与应对</t>
        </is>
      </c>
    </row>
    <row r="4">
      <c r="A4" s="50" t="inlineStr">
        <is>
          <t>[A] 五大潜在杀手与影响测算</t>
        </is>
      </c>
    </row>
    <row r="5">
      <c r="A5" s="6" t="inlineStr">
        <is>
          <t>杀手</t>
        </is>
      </c>
      <c r="B5" s="6" t="inlineStr">
        <is>
          <t>触发条件</t>
        </is>
      </c>
      <c r="C5" s="6" t="inlineStr">
        <is>
          <t>概率</t>
        </is>
      </c>
      <c r="D5" s="6" t="inlineStr">
        <is>
          <t>对MLCC价格</t>
        </is>
      </c>
      <c r="E5" s="6" t="inlineStr">
        <is>
          <t>对A股标的</t>
        </is>
      </c>
      <c r="F5" s="6" t="inlineStr">
        <is>
          <t>应对动作</t>
        </is>
      </c>
    </row>
    <row r="6">
      <c r="A6" s="7" t="inlineStr">
        <is>
          <t>1. 村田涨价不及预期</t>
        </is>
      </c>
      <c r="B6" s="7" t="inlineStr">
        <is>
          <t>3月底涨价&lt;10%</t>
        </is>
      </c>
      <c r="C6" s="48" t="inlineStr">
        <is>
          <t>中-低</t>
        </is>
      </c>
      <c r="D6" s="7" t="inlineStr">
        <is>
          <t>现货溢价回吐10-15%</t>
        </is>
      </c>
      <c r="E6" s="7" t="inlineStr">
        <is>
          <t>板块短期-15至-25%</t>
        </is>
      </c>
      <c r="F6" s="20" t="inlineStr">
        <is>
          <t>降低高弹性标的（达利凯普、商络）50%</t>
        </is>
      </c>
    </row>
    <row r="7">
      <c r="A7" s="7" t="inlineStr">
        <is>
          <t>2. 长单合约阻碍传导</t>
        </is>
      </c>
      <c r="B7" s="7" t="inlineStr">
        <is>
          <t>Q1季报毛利率持平</t>
        </is>
      </c>
      <c r="C7" s="48" t="inlineStr">
        <is>
          <t>中-高</t>
        </is>
      </c>
      <c r="D7" s="7" t="inlineStr">
        <is>
          <t>出厂价上行幅度受限</t>
        </is>
      </c>
      <c r="E7" s="7" t="inlineStr">
        <is>
          <t>估值回吐20%</t>
        </is>
      </c>
      <c r="F7" s="20" t="inlineStr">
        <is>
          <t>保留基础仓位，减仓弹性头寸</t>
        </is>
      </c>
    </row>
    <row r="8">
      <c r="A8" s="7" t="inlineStr">
        <is>
          <t>3. 消费需求疲软延续</t>
        </is>
      </c>
      <c r="B8" s="7" t="inlineStr">
        <is>
          <t>台/中厂稼动率&lt;70%</t>
        </is>
      </c>
      <c r="C8" s="48" t="inlineStr">
        <is>
          <t>中</t>
        </is>
      </c>
      <c r="D8" s="7" t="inlineStr">
        <is>
          <t>挤出逻辑兑现度低</t>
        </is>
      </c>
      <c r="E8" s="7" t="inlineStr">
        <is>
          <t>风华、商络杀逻辑</t>
        </is>
      </c>
      <c r="F8" s="20" t="inlineStr">
        <is>
          <t>卖出偏消费标的、保留高端国产替代</t>
        </is>
      </c>
    </row>
    <row r="9">
      <c r="A9" s="7" t="inlineStr">
        <is>
          <t>4. 国产高端进度不达预期</t>
        </is>
      </c>
      <c r="B9" s="7" t="inlineStr">
        <is>
          <t>三环2025/5扩产再延期</t>
        </is>
      </c>
      <c r="C9" s="48" t="inlineStr">
        <is>
          <t>中-高</t>
        </is>
      </c>
      <c r="D9" s="7" t="inlineStr">
        <is>
          <t>国产替代故事打折</t>
        </is>
      </c>
      <c r="E9" s="7" t="inlineStr">
        <is>
          <t>三环估值-15%</t>
        </is>
      </c>
      <c r="F9" s="20" t="inlineStr">
        <is>
          <t>三环减仓30%，加仓上游材料替代</t>
        </is>
      </c>
    </row>
    <row r="10">
      <c r="A10" s="7" t="inlineStr">
        <is>
          <t>5. AI capex放缓</t>
        </is>
      </c>
      <c r="B10" s="7" t="inlineStr">
        <is>
          <t>云厂商H2 capex下修&gt;5%</t>
        </is>
      </c>
      <c r="C10" s="48" t="inlineStr">
        <is>
          <t>低-中</t>
        </is>
      </c>
      <c r="D10" s="7" t="inlineStr">
        <is>
          <t>整产业链估值重估</t>
        </is>
      </c>
      <c r="E10" s="7" t="inlineStr">
        <is>
          <t>板块系统性-30%</t>
        </is>
      </c>
      <c r="F10" s="20" t="inlineStr">
        <is>
          <t>全面减仓60%，转向防御标的</t>
        </is>
      </c>
    </row>
    <row r="13">
      <c r="A13" s="50" t="inlineStr">
        <is>
          <t>[B] 反向情景下的标的安全边际矩阵</t>
        </is>
      </c>
    </row>
    <row r="14">
      <c r="A14" s="6" t="inlineStr">
        <is>
          <t>标的</t>
        </is>
      </c>
      <c r="B14" s="6" t="inlineStr">
        <is>
          <t>正向弹性(EPS)</t>
        </is>
      </c>
      <c r="C14" s="6" t="inlineStr">
        <is>
          <t>杀手1+2情景</t>
        </is>
      </c>
      <c r="D14" s="6" t="inlineStr">
        <is>
          <t>杀手3情景</t>
        </is>
      </c>
      <c r="E14" s="6" t="inlineStr">
        <is>
          <t>杀手5情景</t>
        </is>
      </c>
      <c r="F14" s="6" t="inlineStr">
        <is>
          <t>综合安全边际</t>
        </is>
      </c>
    </row>
    <row r="15">
      <c r="A15" s="7" t="inlineStr">
        <is>
          <t>三环集团</t>
        </is>
      </c>
      <c r="B15" s="7" t="inlineStr">
        <is>
          <t>+50%</t>
        </is>
      </c>
      <c r="C15" s="7" t="inlineStr">
        <is>
          <t>-20%（减仓30%）</t>
        </is>
      </c>
      <c r="D15" s="7" t="inlineStr">
        <is>
          <t>-15%</t>
        </is>
      </c>
      <c r="E15" s="7" t="inlineStr">
        <is>
          <t>-40%</t>
        </is>
      </c>
      <c r="F15" s="49" t="inlineStr">
        <is>
          <t>中（高端确定性高，但扩产延期）</t>
        </is>
      </c>
    </row>
    <row r="16">
      <c r="A16" s="7" t="inlineStr">
        <is>
          <t>风华高科</t>
        </is>
      </c>
      <c r="B16" s="7" t="inlineStr">
        <is>
          <t>+28%</t>
        </is>
      </c>
      <c r="C16" s="7" t="inlineStr">
        <is>
          <t>-25%</t>
        </is>
      </c>
      <c r="D16" s="7" t="inlineStr">
        <is>
          <t>-30%（消费拖累）</t>
        </is>
      </c>
      <c r="E16" s="7" t="inlineStr">
        <is>
          <t>-45%</t>
        </is>
      </c>
      <c r="F16" s="47" t="inlineStr">
        <is>
          <t>低（消费暴露大）</t>
        </is>
      </c>
    </row>
    <row r="17">
      <c r="A17" s="7" t="inlineStr">
        <is>
          <t>顺络电子</t>
        </is>
      </c>
      <c r="B17" s="7" t="inlineStr">
        <is>
          <t>+50%</t>
        </is>
      </c>
      <c r="C17" s="7" t="inlineStr">
        <is>
          <t>-15%（机制5不受影响）</t>
        </is>
      </c>
      <c r="D17" s="7" t="inlineStr">
        <is>
          <t>-10%</t>
        </is>
      </c>
      <c r="E17" s="7" t="inlineStr">
        <is>
          <t>-50%</t>
        </is>
      </c>
      <c r="F17" s="48" t="inlineStr">
        <is>
          <t>中</t>
        </is>
      </c>
    </row>
    <row r="18">
      <c r="A18" s="7" t="inlineStr">
        <is>
          <t>法拉电子</t>
        </is>
      </c>
      <c r="B18" s="7" t="inlineStr">
        <is>
          <t>+60%</t>
        </is>
      </c>
      <c r="C18" s="7" t="inlineStr">
        <is>
          <t>-10%（HVDC独立逻辑）</t>
        </is>
      </c>
      <c r="D18" s="7" t="inlineStr">
        <is>
          <t>-5%</t>
        </is>
      </c>
      <c r="E18" s="7" t="inlineStr">
        <is>
          <t>-35%</t>
        </is>
      </c>
      <c r="F18" s="49" t="inlineStr">
        <is>
          <t>高（HVDC不受MLCC影响）</t>
        </is>
      </c>
    </row>
    <row r="19">
      <c r="A19" s="7" t="inlineStr">
        <is>
          <t>江海股份</t>
        </is>
      </c>
      <c r="B19" s="7" t="inlineStr">
        <is>
          <t>+55%</t>
        </is>
      </c>
      <c r="C19" s="7" t="inlineStr">
        <is>
          <t>-12%</t>
        </is>
      </c>
      <c r="D19" s="7" t="inlineStr">
        <is>
          <t>-15%</t>
        </is>
      </c>
      <c r="E19" s="7" t="inlineStr">
        <is>
          <t>-30%</t>
        </is>
      </c>
      <c r="F19" s="49" t="inlineStr">
        <is>
          <t>高（多业务平台）</t>
        </is>
      </c>
    </row>
    <row r="20">
      <c r="A20" s="7" t="inlineStr">
        <is>
          <t>国瓷材料</t>
        </is>
      </c>
      <c r="B20" s="7" t="inlineStr">
        <is>
          <t>+70%</t>
        </is>
      </c>
      <c r="C20" s="7" t="inlineStr">
        <is>
          <t>-15%</t>
        </is>
      </c>
      <c r="D20" s="7" t="inlineStr">
        <is>
          <t>-10%</t>
        </is>
      </c>
      <c r="E20" s="7" t="inlineStr">
        <is>
          <t>-40%</t>
        </is>
      </c>
      <c r="F20" s="49" t="inlineStr">
        <is>
          <t>中-高（上游确定性）</t>
        </is>
      </c>
    </row>
    <row r="21">
      <c r="A21" s="7" t="inlineStr">
        <is>
          <t>博迁新材</t>
        </is>
      </c>
      <c r="B21" s="7" t="inlineStr">
        <is>
          <t>+45%</t>
        </is>
      </c>
      <c r="C21" s="7" t="inlineStr">
        <is>
          <t>-8%</t>
        </is>
      </c>
      <c r="D21" s="7" t="inlineStr">
        <is>
          <t>-5%</t>
        </is>
      </c>
      <c r="E21" s="7" t="inlineStr">
        <is>
          <t>-35%</t>
        </is>
      </c>
      <c r="F21" s="49" t="inlineStr">
        <is>
          <t>高（量增驱动）</t>
        </is>
      </c>
    </row>
    <row r="22">
      <c r="A22" s="7" t="inlineStr">
        <is>
          <t>洁美科技</t>
        </is>
      </c>
      <c r="B22" s="7" t="inlineStr">
        <is>
          <t>+35%</t>
        </is>
      </c>
      <c r="C22" s="7" t="inlineStr">
        <is>
          <t>-5%</t>
        </is>
      </c>
      <c r="D22" s="7" t="inlineStr">
        <is>
          <t>-10%</t>
        </is>
      </c>
      <c r="E22" s="7" t="inlineStr">
        <is>
          <t>-30%</t>
        </is>
      </c>
      <c r="F22" s="49" t="inlineStr">
        <is>
          <t>高（载带平台）</t>
        </is>
      </c>
    </row>
    <row r="23">
      <c r="A23" s="7" t="inlineStr">
        <is>
          <t>商络电子</t>
        </is>
      </c>
      <c r="B23" s="7" t="inlineStr">
        <is>
          <t>+40%</t>
        </is>
      </c>
      <c r="C23" s="7" t="inlineStr">
        <is>
          <t>-30%（价差收窄）</t>
        </is>
      </c>
      <c r="D23" s="7" t="inlineStr">
        <is>
          <t>-25%</t>
        </is>
      </c>
      <c r="E23" s="7" t="inlineStr">
        <is>
          <t>-30%</t>
        </is>
      </c>
      <c r="F23" s="47" t="inlineStr">
        <is>
          <t>低（杠杆敞口）</t>
        </is>
      </c>
    </row>
    <row r="24">
      <c r="A24" s="7" t="inlineStr">
        <is>
          <t>达利凯普</t>
        </is>
      </c>
      <c r="B24" s="7" t="inlineStr">
        <is>
          <t>+60%</t>
        </is>
      </c>
      <c r="C24" s="7" t="inlineStr">
        <is>
          <t>-35%</t>
        </is>
      </c>
      <c r="D24" s="7" t="inlineStr">
        <is>
          <t>-25%</t>
        </is>
      </c>
      <c r="E24" s="7" t="inlineStr">
        <is>
          <t>-50%</t>
        </is>
      </c>
      <c r="F24" s="47" t="inlineStr">
        <is>
          <t>极低（情绪驱动）</t>
        </is>
      </c>
    </row>
    <row r="27">
      <c r="A27" s="50" t="inlineStr">
        <is>
          <t>[C] 安全边际最高的三个组合配置思路</t>
        </is>
      </c>
    </row>
    <row r="28">
      <c r="A28" s="6" t="inlineStr">
        <is>
          <t>组合</t>
        </is>
      </c>
      <c r="B28" s="6" t="inlineStr">
        <is>
          <t>底仓</t>
        </is>
      </c>
      <c r="C28" s="6" t="inlineStr">
        <is>
          <t>弹性</t>
        </is>
      </c>
      <c r="D28" s="6" t="inlineStr">
        <is>
          <t>防御</t>
        </is>
      </c>
      <c r="E28" s="6" t="inlineStr">
        <is>
          <t>适用环境</t>
        </is>
      </c>
    </row>
    <row r="29">
      <c r="A29" s="37" t="inlineStr">
        <is>
          <t>进攻型</t>
        </is>
      </c>
      <c r="B29" s="7" t="inlineStr">
        <is>
          <t>三环+顺络（40%）</t>
        </is>
      </c>
      <c r="C29" s="7" t="inlineStr">
        <is>
          <t>法拉+江海+博迁（40%）</t>
        </is>
      </c>
      <c r="D29" s="7" t="inlineStr">
        <is>
          <t>国瓷+洁美（20%）</t>
        </is>
      </c>
      <c r="E29" s="7" t="inlineStr">
        <is>
          <t>村田涨价&gt;20% + 一季报毛利率改善 → 此时加杠杆</t>
        </is>
      </c>
    </row>
    <row r="30">
      <c r="A30" s="37" t="inlineStr">
        <is>
          <t>平衡型</t>
        </is>
      </c>
      <c r="B30" s="7" t="inlineStr">
        <is>
          <t>三环+法拉+国瓷（45%）</t>
        </is>
      </c>
      <c r="C30" s="7" t="inlineStr">
        <is>
          <t>顺络+江海+博迁（30%）</t>
        </is>
      </c>
      <c r="D30" s="7" t="inlineStr">
        <is>
          <t>洁美+商络（25%）</t>
        </is>
      </c>
      <c r="E30" s="7" t="inlineStr">
        <is>
          <t>中性情景下默认配置（当前推荐）</t>
        </is>
      </c>
    </row>
    <row r="31">
      <c r="A31" s="37" t="inlineStr">
        <is>
          <t>防御型</t>
        </is>
      </c>
      <c r="B31" s="7" t="inlineStr">
        <is>
          <t>国瓷+洁美+博迁（50%）</t>
        </is>
      </c>
      <c r="C31" s="7" t="inlineStr">
        <is>
          <t>法拉+江海（30%）</t>
        </is>
      </c>
      <c r="D31" s="7" t="inlineStr">
        <is>
          <t>持币观望（20%）</t>
        </is>
      </c>
      <c r="E31" s="7" t="inlineStr">
        <is>
          <t>村田涨价&lt;10%或一季报不及预期 → 切换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8" customWidth="1" min="9" max="9"/>
  </cols>
  <sheetData>
    <row r="1">
      <c r="A1" s="10" t="inlineStr">
        <is>
          <t>上游材料 + 流通环节专项分析</t>
        </is>
      </c>
    </row>
    <row r="2">
      <c r="A2" s="11" t="inlineStr">
        <is>
          <t>原v1.0模型仅含中游零部件标的，v2.0补充"上游卖水人"和"流通环节杠杆"两条逻辑</t>
        </is>
      </c>
    </row>
    <row r="4">
      <c r="A4" s="50" t="inlineStr">
        <is>
          <t>[A] MLCC上游产业链结构</t>
        </is>
      </c>
    </row>
    <row r="5">
      <c r="A5" s="6" t="inlineStr">
        <is>
          <t>环节</t>
        </is>
      </c>
      <c r="B5" s="6" t="inlineStr">
        <is>
          <t>代表企业</t>
        </is>
      </c>
      <c r="C5" s="6" t="inlineStr">
        <is>
          <t>产品</t>
        </is>
      </c>
      <c r="D5" s="6" t="inlineStr">
        <is>
          <t>AIDC受益度</t>
        </is>
      </c>
      <c r="E5" s="6" t="inlineStr">
        <is>
          <t>技术壁垒</t>
        </is>
      </c>
      <c r="F5" s="6" t="inlineStr">
        <is>
          <t>国产替代进度</t>
        </is>
      </c>
    </row>
    <row r="6">
      <c r="A6" s="7" t="inlineStr">
        <is>
          <t>介质粉（BT粉）</t>
        </is>
      </c>
      <c r="B6" s="7" t="inlineStr">
        <is>
          <t>日本堺化学</t>
        </is>
      </c>
      <c r="C6" s="7" t="inlineStr">
        <is>
          <t>BaTiO₃超细粉</t>
        </is>
      </c>
      <c r="D6" s="7" t="inlineStr">
        <is>
          <t>极高（量增受益）</t>
        </is>
      </c>
      <c r="E6" s="7" t="inlineStr">
        <is>
          <t>极高（粒径50nm/CV&lt;10%）</t>
        </is>
      </c>
      <c r="F6" s="7" t="inlineStr">
        <is>
          <t>国瓷材料切入中</t>
        </is>
      </c>
    </row>
    <row r="7">
      <c r="A7" s="51" t="inlineStr">
        <is>
          <t>介质粉（BT粉）</t>
        </is>
      </c>
      <c r="B7" s="7" t="inlineStr">
        <is>
          <t>国瓷材料</t>
        </is>
      </c>
      <c r="C7" s="7" t="inlineStr">
        <is>
          <t>BaTiO₃粉</t>
        </is>
      </c>
      <c r="D7" s="7" t="inlineStr">
        <is>
          <t>极高</t>
        </is>
      </c>
      <c r="E7" s="7" t="inlineStr">
        <is>
          <t>国内唯一规模化</t>
        </is>
      </c>
      <c r="F7" s="7" t="inlineStr">
        <is>
          <t>已突破</t>
        </is>
      </c>
    </row>
    <row r="8">
      <c r="A8" s="7" t="inlineStr">
        <is>
          <t>内电极镍粉</t>
        </is>
      </c>
      <c r="B8" s="7" t="inlineStr">
        <is>
          <t>日本JFE/住友</t>
        </is>
      </c>
      <c r="C8" s="7" t="inlineStr">
        <is>
          <t>纳米镍粉</t>
        </is>
      </c>
      <c r="D8" s="7" t="inlineStr">
        <is>
          <t>高</t>
        </is>
      </c>
      <c r="E8" s="7" t="inlineStr">
        <is>
          <t>极高</t>
        </is>
      </c>
      <c r="F8" s="7" t="inlineStr">
        <is>
          <t>博迁新材切入中</t>
        </is>
      </c>
    </row>
    <row r="9">
      <c r="A9" s="51" t="inlineStr">
        <is>
          <t>内电极镍粉</t>
        </is>
      </c>
      <c r="B9" s="7" t="inlineStr">
        <is>
          <t>博迁新材</t>
        </is>
      </c>
      <c r="C9" s="7" t="inlineStr">
        <is>
          <t>纳米镍粉</t>
        </is>
      </c>
      <c r="D9" s="7" t="inlineStr">
        <is>
          <t>极高</t>
        </is>
      </c>
      <c r="E9" s="7" t="inlineStr">
        <is>
          <t>国内龙头</t>
        </is>
      </c>
      <c r="F9" s="7" t="inlineStr">
        <is>
          <t>已突破</t>
        </is>
      </c>
    </row>
    <row r="10">
      <c r="A10" s="7" t="inlineStr">
        <is>
          <t>端电极银钯浆</t>
        </is>
      </c>
      <c r="B10" s="7" t="inlineStr">
        <is>
          <t>贺利氏</t>
        </is>
      </c>
      <c r="C10" s="7" t="inlineStr">
        <is>
          <t>贵金属浆料</t>
        </is>
      </c>
      <c r="D10" s="7" t="inlineStr">
        <is>
          <t>高</t>
        </is>
      </c>
      <c r="E10" s="7" t="inlineStr">
        <is>
          <t>贵金属价格驱动</t>
        </is>
      </c>
      <c r="F10" s="7" t="inlineStr">
        <is>
          <t>国产化进展慢</t>
        </is>
      </c>
    </row>
    <row r="11">
      <c r="A11" s="7" t="inlineStr">
        <is>
          <t>流延膜/离型膜</t>
        </is>
      </c>
      <c r="B11" s="7" t="inlineStr">
        <is>
          <t>日本东丽</t>
        </is>
      </c>
      <c r="C11" s="7" t="inlineStr">
        <is>
          <t>PET离型膜</t>
        </is>
      </c>
      <c r="D11" s="7" t="inlineStr">
        <is>
          <t>中-高</t>
        </is>
      </c>
      <c r="E11" s="7" t="inlineStr">
        <is>
          <t>中-高</t>
        </is>
      </c>
      <c r="F11" s="7" t="inlineStr">
        <is>
          <t>洁美科技逐步替代</t>
        </is>
      </c>
    </row>
    <row r="12">
      <c r="A12" s="51" t="inlineStr">
        <is>
          <t>流延膜/离型膜</t>
        </is>
      </c>
      <c r="B12" s="7" t="inlineStr">
        <is>
          <t>洁美科技</t>
        </is>
      </c>
      <c r="C12" s="7" t="inlineStr">
        <is>
          <t>MLCC离型膜+载带</t>
        </is>
      </c>
      <c r="D12" s="7" t="inlineStr">
        <is>
          <t>极高</t>
        </is>
      </c>
      <c r="E12" s="7" t="inlineStr">
        <is>
          <t>国内龙头</t>
        </is>
      </c>
      <c r="F12" s="7" t="inlineStr">
        <is>
          <t>已突破</t>
        </is>
      </c>
    </row>
    <row r="13">
      <c r="A13" s="51" t="inlineStr">
        <is>
          <t>MLCC载带</t>
        </is>
      </c>
      <c r="B13" s="7" t="inlineStr">
        <is>
          <t>洁美科技</t>
        </is>
      </c>
      <c r="C13" s="7" t="inlineStr">
        <is>
          <t>MLCC载带</t>
        </is>
      </c>
      <c r="D13" s="7" t="inlineStr">
        <is>
          <t>极高</t>
        </is>
      </c>
      <c r="E13" s="7" t="inlineStr">
        <is>
          <t>国内龙头</t>
        </is>
      </c>
      <c r="F13" s="7" t="inlineStr">
        <is>
          <t>全球领先</t>
        </is>
      </c>
    </row>
    <row r="14">
      <c r="A14" s="7" t="inlineStr">
        <is>
          <t>代理商/分销</t>
        </is>
      </c>
      <c r="B14" s="7" t="inlineStr">
        <is>
          <t>Avnet/Arrow/文晔/大联大</t>
        </is>
      </c>
      <c r="C14" s="7" t="inlineStr">
        <is>
          <t>全品类电子分销</t>
        </is>
      </c>
      <c r="D14" s="7" t="inlineStr">
        <is>
          <t>中</t>
        </is>
      </c>
      <c r="E14" s="7" t="inlineStr">
        <is>
          <t>—</t>
        </is>
      </c>
      <c r="F14" s="7" t="inlineStr">
        <is>
          <t>国内代理（商络等）填补国产替代空间</t>
        </is>
      </c>
    </row>
    <row r="15">
      <c r="A15" s="51" t="inlineStr">
        <is>
          <t>代理商/分销</t>
        </is>
      </c>
      <c r="B15" s="7" t="inlineStr">
        <is>
          <t>商络电子</t>
        </is>
      </c>
      <c r="C15" s="7" t="inlineStr">
        <is>
          <t>电子分销+MLCC库存</t>
        </is>
      </c>
      <c r="D15" s="7" t="inlineStr">
        <is>
          <t>高（价差扩大）</t>
        </is>
      </c>
      <c r="E15" s="7" t="inlineStr">
        <is>
          <t>—</t>
        </is>
      </c>
      <c r="F15" s="7" t="inlineStr">
        <is>
          <t>国内代理龙头</t>
        </is>
      </c>
    </row>
    <row r="18">
      <c r="A18" s="50" t="inlineStr">
        <is>
          <t>[B] 上游+流通标的详细弹性测算</t>
        </is>
      </c>
    </row>
    <row r="19">
      <c r="A19" s="6" t="inlineStr">
        <is>
          <t>公司</t>
        </is>
      </c>
      <c r="B19" s="6" t="inlineStr">
        <is>
          <t>代码</t>
        </is>
      </c>
      <c r="C19" s="6" t="inlineStr">
        <is>
          <t>核心产品</t>
        </is>
      </c>
      <c r="D19" s="6" t="inlineStr">
        <is>
          <t>2025E AIDC占比</t>
        </is>
      </c>
      <c r="E19" s="6" t="inlineStr">
        <is>
          <t>2026E 收入弹性</t>
        </is>
      </c>
      <c r="F19" s="6" t="inlineStr">
        <is>
          <t>2026E EPS弹性</t>
        </is>
      </c>
      <c r="G19" s="6" t="inlineStr">
        <is>
          <t>PE区间</t>
        </is>
      </c>
      <c r="H19" s="6" t="inlineStr">
        <is>
          <t>评级</t>
        </is>
      </c>
      <c r="I19" s="6" t="inlineStr">
        <is>
          <t>杀手敏感度</t>
        </is>
      </c>
    </row>
    <row r="20">
      <c r="A20" s="7" t="inlineStr">
        <is>
          <t>国瓷材料</t>
        </is>
      </c>
      <c r="B20" s="7" t="inlineStr">
        <is>
          <t>300285.SZ</t>
        </is>
      </c>
      <c r="C20" s="7" t="inlineStr">
        <is>
          <t>BaTiO₃介质粉</t>
        </is>
      </c>
      <c r="D20" s="7" t="inlineStr">
        <is>
          <t>10%</t>
        </is>
      </c>
      <c r="E20" s="7" t="inlineStr">
        <is>
          <t>+40%</t>
        </is>
      </c>
      <c r="F20" s="7" t="inlineStr">
        <is>
          <t>+70%</t>
        </is>
      </c>
      <c r="G20" s="7" t="inlineStr">
        <is>
          <t>30-45x</t>
        </is>
      </c>
      <c r="H20" s="7" t="inlineStr">
        <is>
          <t>战略关注</t>
        </is>
      </c>
      <c r="I20" s="7" t="inlineStr">
        <is>
          <t>中（量增驱动）</t>
        </is>
      </c>
    </row>
    <row r="21">
      <c r="A21" s="7" t="inlineStr">
        <is>
          <t>博迁新材</t>
        </is>
      </c>
      <c r="B21" s="7" t="inlineStr">
        <is>
          <t>605376.SH</t>
        </is>
      </c>
      <c r="C21" s="7" t="inlineStr">
        <is>
          <t>镍粉（MLCC内电极）</t>
        </is>
      </c>
      <c r="D21" s="7" t="inlineStr">
        <is>
          <t>15%</t>
        </is>
      </c>
      <c r="E21" s="7" t="inlineStr">
        <is>
          <t>+25%</t>
        </is>
      </c>
      <c r="F21" s="7" t="inlineStr">
        <is>
          <t>+45%</t>
        </is>
      </c>
      <c r="G21" s="7" t="inlineStr">
        <is>
          <t>25-40x</t>
        </is>
      </c>
      <c r="H21" s="7" t="inlineStr">
        <is>
          <t>增持</t>
        </is>
      </c>
      <c r="I21" s="7" t="inlineStr">
        <is>
          <t>中（量增驱动）</t>
        </is>
      </c>
    </row>
    <row r="22">
      <c r="A22" s="7" t="inlineStr">
        <is>
          <t>洁美科技</t>
        </is>
      </c>
      <c r="B22" s="7" t="inlineStr">
        <is>
          <t>002859.SZ</t>
        </is>
      </c>
      <c r="C22" s="7" t="inlineStr">
        <is>
          <t>MLCC载带 + 离型膜</t>
        </is>
      </c>
      <c r="D22" s="7" t="inlineStr">
        <is>
          <t>20%</t>
        </is>
      </c>
      <c r="E22" s="7" t="inlineStr">
        <is>
          <t>+22%</t>
        </is>
      </c>
      <c r="F22" s="7" t="inlineStr">
        <is>
          <t>+35%</t>
        </is>
      </c>
      <c r="G22" s="7" t="inlineStr">
        <is>
          <t>20-32x</t>
        </is>
      </c>
      <c r="H22" s="7" t="inlineStr">
        <is>
          <t>增持</t>
        </is>
      </c>
      <c r="I22" s="7" t="inlineStr">
        <is>
          <t>低（量增确定性极高）</t>
        </is>
      </c>
    </row>
    <row r="23">
      <c r="A23" s="7" t="inlineStr">
        <is>
          <t>商络电子</t>
        </is>
      </c>
      <c r="B23" s="7" t="inlineStr">
        <is>
          <t>300975.SZ</t>
        </is>
      </c>
      <c r="C23" s="7" t="inlineStr">
        <is>
          <t>电子分销代理</t>
        </is>
      </c>
      <c r="D23" s="7" t="inlineStr">
        <is>
          <t>10%</t>
        </is>
      </c>
      <c r="E23" s="7" t="inlineStr">
        <is>
          <t>+25%</t>
        </is>
      </c>
      <c r="F23" s="7" t="inlineStr">
        <is>
          <t>+40%</t>
        </is>
      </c>
      <c r="G23" s="7" t="inlineStr">
        <is>
          <t>18-28x</t>
        </is>
      </c>
      <c r="H23" s="7" t="inlineStr">
        <is>
          <t>增持</t>
        </is>
      </c>
      <c r="I23" s="7" t="inlineStr">
        <is>
          <t>高（杠杆敞口）</t>
        </is>
      </c>
    </row>
    <row r="24">
      <c r="A24" s="7" t="inlineStr">
        <is>
          <t>铂科新材</t>
        </is>
      </c>
      <c r="B24" s="7" t="inlineStr">
        <is>
          <t>300811.SZ</t>
        </is>
      </c>
      <c r="C24" s="7" t="inlineStr">
        <is>
          <t>金属软磁粉芯</t>
        </is>
      </c>
      <c r="D24" s="7" t="inlineStr">
        <is>
          <t>10%</t>
        </is>
      </c>
      <c r="E24" s="7" t="inlineStr">
        <is>
          <t>+45%</t>
        </is>
      </c>
      <c r="F24" s="7" t="inlineStr">
        <is>
          <t>+80%</t>
        </is>
      </c>
      <c r="G24" s="7" t="inlineStr">
        <is>
          <t>30-45x</t>
        </is>
      </c>
      <c r="H24" s="7" t="inlineStr">
        <is>
          <t>战略关注</t>
        </is>
      </c>
      <c r="I24" s="7" t="inlineStr">
        <is>
          <t>中</t>
        </is>
      </c>
    </row>
    <row r="25">
      <c r="A25" s="7" t="inlineStr">
        <is>
          <t>立中集团</t>
        </is>
      </c>
      <c r="B25" s="7" t="inlineStr">
        <is>
          <t>300428.SZ</t>
        </is>
      </c>
      <c r="C25" s="7" t="inlineStr">
        <is>
          <t>MLCC合金材料</t>
        </is>
      </c>
      <c r="D25" s="7" t="inlineStr">
        <is>
          <t>5%</t>
        </is>
      </c>
      <c r="E25" s="7" t="inlineStr">
        <is>
          <t>+15%</t>
        </is>
      </c>
      <c r="F25" s="7" t="inlineStr">
        <is>
          <t>+25%</t>
        </is>
      </c>
      <c r="G25" s="7" t="inlineStr">
        <is>
          <t>20-30x</t>
        </is>
      </c>
      <c r="H25" s="7" t="inlineStr">
        <is>
          <t>持有</t>
        </is>
      </c>
      <c r="I25" s="7" t="inlineStr">
        <is>
          <t>中</t>
        </is>
      </c>
    </row>
    <row r="28">
      <c r="A28" s="50" t="inlineStr">
        <is>
          <t>[C] 上游+流通标的的核心吸引力</t>
        </is>
      </c>
    </row>
    <row r="29">
      <c r="A29" s="52" t="inlineStr">
        <is>
          <t>• 上游材料层（国瓷、博迁、洁美、铂科）：享受"行业总量增长"，不依赖具体客户胜出，确定性最高</t>
        </is>
      </c>
    </row>
    <row r="30">
      <c r="A30" s="42" t="inlineStr">
        <is>
          <t>• 国瓷材料：是三星电机BT粉核心供应商，受益于三星扩产斜率（2025-2027 CAGR 32%）</t>
        </is>
      </c>
    </row>
    <row r="31">
      <c r="A31" s="42" t="inlineStr">
        <is>
          <t>• 博迁新材：镍粉龙头，对MLCC行业总量极敏感，相比中游公司毛利率更稳定</t>
        </is>
      </c>
    </row>
    <row r="32">
      <c r="A32" s="42" t="inlineStr">
        <is>
          <t>• 洁美科技：MLCC载带+离型膜双龙头，全球市场份额35%以上，量增直接传导</t>
        </is>
      </c>
    </row>
    <row r="33">
      <c r="A33" s="42" t="inlineStr">
        <is>
          <t>• 商络电子：现货涨而出厂不涨情景下，代理商是第一受益人——库存浮盈+价差扩大</t>
        </is>
      </c>
    </row>
    <row r="34">
      <c r="A34" s="42" t="inlineStr">
        <is>
          <t>• 铂科新材：金属软磁粉芯（电感关键磁性原料）龙头，受益于AI高频电感需求暴增</t>
        </is>
      </c>
    </row>
    <row r="35">
      <c r="A35" s="42" t="inlineStr">
        <is>
          <t>• 组合配置：建议在原v1配置基础上，增加上游+流通占比至25-30%，作为防御性补强</t>
        </is>
      </c>
    </row>
  </sheetData>
  <mergeCells count="8">
    <mergeCell ref="A29:I29"/>
    <mergeCell ref="A1:G1"/>
    <mergeCell ref="A33:I33"/>
    <mergeCell ref="A32:I32"/>
    <mergeCell ref="A31:I31"/>
    <mergeCell ref="A34:I34"/>
    <mergeCell ref="A35:I35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2026-05-06T07:24:22Z</dcterms:created>
  <dcterms:modified xmlns:dcterms="http://purl.org/dc/terms/" xmlns:xsi="http://www.w3.org/2001/XMLSchema-instance" xsi:type="dcterms:W3CDTF">2026-05-06T07:47:21Z</dcterms:modified>
</cp:coreProperties>
</file>